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6b8106bceefb60/_AREAS OF RESPONSIBILITY/Employers/Artis REIT/"/>
    </mc:Choice>
  </mc:AlternateContent>
  <xr:revisionPtr revIDLastSave="10" documentId="13_ncr:1_{65C1D446-8786-48D6-8703-1DBA10D5C76D}" xr6:coauthVersionLast="47" xr6:coauthVersionMax="47" xr10:uidLastSave="{610020B8-9B02-5B44-A688-074F3B9CC546}"/>
  <bookViews>
    <workbookView xWindow="0" yWindow="500" windowWidth="29040" windowHeight="15840" xr2:uid="{1D145BD8-76F8-4532-AD18-457441242E43}"/>
  </bookViews>
  <sheets>
    <sheet name="COMP SET" sheetId="2" r:id="rId1"/>
  </sheets>
  <definedNames>
    <definedName name="_xlnm._FilterDatabase" localSheetId="0" hidden="1">'COMP SET'!$A$5:$Q$128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8" i="2" l="1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E131" i="2" l="1"/>
  <c r="F131" i="2" s="1"/>
  <c r="G131" i="2" s="1"/>
  <c r="H131" i="2" s="1"/>
  <c r="I131" i="2" s="1"/>
  <c r="J131" i="2" s="1"/>
  <c r="K131" i="2" s="1"/>
  <c r="L131" i="2" s="1"/>
  <c r="M131" i="2" s="1"/>
  <c r="N131" i="2" s="1"/>
  <c r="O131" i="2" s="1"/>
  <c r="P131" i="2" s="1"/>
  <c r="I126" i="2"/>
  <c r="N121" i="2"/>
  <c r="I127" i="2" l="1"/>
  <c r="I125" i="2"/>
  <c r="I124" i="2"/>
  <c r="I123" i="2"/>
  <c r="I122" i="2"/>
  <c r="I121" i="2"/>
  <c r="P127" i="2"/>
  <c r="Q127" i="2" s="1"/>
  <c r="P126" i="2"/>
  <c r="Q126" i="2" s="1"/>
  <c r="P125" i="2"/>
  <c r="Q125" i="2" s="1"/>
  <c r="P124" i="2"/>
  <c r="Q124" i="2" s="1"/>
  <c r="P123" i="2"/>
  <c r="Q123" i="2" s="1"/>
  <c r="P122" i="2"/>
  <c r="Q122" i="2" s="1"/>
  <c r="P121" i="2"/>
  <c r="Q121" i="2" s="1"/>
  <c r="Z128" i="2"/>
  <c r="Y128" i="2"/>
  <c r="X128" i="2"/>
  <c r="W128" i="2"/>
  <c r="V128" i="2"/>
  <c r="T128" i="2"/>
  <c r="S128" i="2"/>
  <c r="Z127" i="2"/>
  <c r="Y127" i="2"/>
  <c r="X127" i="2"/>
  <c r="W127" i="2"/>
  <c r="V127" i="2"/>
  <c r="T127" i="2"/>
  <c r="S127" i="2"/>
  <c r="Z126" i="2"/>
  <c r="Y126" i="2"/>
  <c r="X126" i="2"/>
  <c r="W126" i="2"/>
  <c r="V126" i="2"/>
  <c r="T126" i="2"/>
  <c r="S126" i="2"/>
  <c r="Z125" i="2"/>
  <c r="Y125" i="2"/>
  <c r="X125" i="2"/>
  <c r="W125" i="2"/>
  <c r="V125" i="2"/>
  <c r="T125" i="2"/>
  <c r="S125" i="2"/>
  <c r="Z124" i="2"/>
  <c r="Y124" i="2"/>
  <c r="X124" i="2"/>
  <c r="W124" i="2"/>
  <c r="V124" i="2"/>
  <c r="T124" i="2"/>
  <c r="S124" i="2"/>
  <c r="Z123" i="2"/>
  <c r="Y123" i="2"/>
  <c r="X123" i="2"/>
  <c r="W123" i="2"/>
  <c r="V123" i="2"/>
  <c r="T123" i="2"/>
  <c r="S123" i="2"/>
  <c r="Z122" i="2"/>
  <c r="Y122" i="2"/>
  <c r="X122" i="2"/>
  <c r="W122" i="2"/>
  <c r="V122" i="2"/>
  <c r="T122" i="2"/>
  <c r="S122" i="2"/>
  <c r="Z121" i="2"/>
  <c r="Y121" i="2"/>
  <c r="X121" i="2"/>
  <c r="W121" i="2"/>
  <c r="V121" i="2"/>
  <c r="T121" i="2"/>
  <c r="S121" i="2"/>
  <c r="Z120" i="2"/>
  <c r="Y120" i="2"/>
  <c r="X120" i="2"/>
  <c r="W120" i="2"/>
  <c r="V120" i="2"/>
  <c r="T120" i="2"/>
  <c r="S120" i="2"/>
  <c r="P120" i="2"/>
  <c r="Q120" i="2" s="1"/>
  <c r="I120" i="2"/>
  <c r="F120" i="2"/>
  <c r="Z119" i="2"/>
  <c r="Y119" i="2"/>
  <c r="X119" i="2"/>
  <c r="W119" i="2"/>
  <c r="V119" i="2"/>
  <c r="T119" i="2"/>
  <c r="S119" i="2"/>
  <c r="P119" i="2"/>
  <c r="Q119" i="2" s="1"/>
  <c r="I119" i="2"/>
  <c r="F116" i="2"/>
  <c r="F115" i="2"/>
  <c r="F114" i="2"/>
  <c r="Z118" i="2"/>
  <c r="Y118" i="2"/>
  <c r="X118" i="2"/>
  <c r="W118" i="2"/>
  <c r="V118" i="2"/>
  <c r="T118" i="2"/>
  <c r="S118" i="2"/>
  <c r="P118" i="2"/>
  <c r="Q118" i="2" s="1"/>
  <c r="I118" i="2"/>
  <c r="Z117" i="2"/>
  <c r="Y117" i="2"/>
  <c r="X117" i="2"/>
  <c r="W117" i="2"/>
  <c r="V117" i="2"/>
  <c r="T117" i="2"/>
  <c r="S117" i="2"/>
  <c r="P117" i="2"/>
  <c r="Q117" i="2" s="1"/>
  <c r="I117" i="2"/>
  <c r="Z116" i="2"/>
  <c r="Y116" i="2"/>
  <c r="X116" i="2"/>
  <c r="W116" i="2"/>
  <c r="V116" i="2"/>
  <c r="T116" i="2"/>
  <c r="S116" i="2"/>
  <c r="P116" i="2"/>
  <c r="Q116" i="2" s="1"/>
  <c r="I116" i="2"/>
  <c r="Z115" i="2"/>
  <c r="Y115" i="2"/>
  <c r="X115" i="2"/>
  <c r="W115" i="2"/>
  <c r="V115" i="2"/>
  <c r="T115" i="2"/>
  <c r="S115" i="2"/>
  <c r="P115" i="2"/>
  <c r="Q115" i="2" s="1"/>
  <c r="I115" i="2"/>
  <c r="Z114" i="2"/>
  <c r="Y114" i="2"/>
  <c r="X114" i="2"/>
  <c r="W114" i="2"/>
  <c r="V114" i="2"/>
  <c r="T114" i="2"/>
  <c r="S114" i="2"/>
  <c r="P114" i="2"/>
  <c r="Q114" i="2" s="1"/>
  <c r="I114" i="2"/>
  <c r="Z113" i="2"/>
  <c r="Y113" i="2"/>
  <c r="X113" i="2"/>
  <c r="W113" i="2"/>
  <c r="V113" i="2"/>
  <c r="T113" i="2"/>
  <c r="S113" i="2"/>
  <c r="P113" i="2"/>
  <c r="Q113" i="2" s="1"/>
  <c r="I113" i="2"/>
  <c r="Z112" i="2"/>
  <c r="Y112" i="2"/>
  <c r="X112" i="2"/>
  <c r="W112" i="2"/>
  <c r="V112" i="2"/>
  <c r="T112" i="2"/>
  <c r="S112" i="2"/>
  <c r="P112" i="2"/>
  <c r="Q112" i="2" s="1"/>
  <c r="I112" i="2"/>
  <c r="Z111" i="2"/>
  <c r="Y111" i="2"/>
  <c r="X111" i="2"/>
  <c r="W111" i="2"/>
  <c r="V111" i="2"/>
  <c r="T111" i="2"/>
  <c r="S111" i="2"/>
  <c r="P111" i="2"/>
  <c r="Q111" i="2" s="1"/>
  <c r="I111" i="2"/>
  <c r="Z110" i="2"/>
  <c r="Y110" i="2"/>
  <c r="X110" i="2"/>
  <c r="W110" i="2"/>
  <c r="V110" i="2"/>
  <c r="T110" i="2"/>
  <c r="S110" i="2"/>
  <c r="P110" i="2"/>
  <c r="Q110" i="2" s="1"/>
  <c r="I110" i="2"/>
  <c r="Z109" i="2"/>
  <c r="Y109" i="2"/>
  <c r="X109" i="2"/>
  <c r="W109" i="2"/>
  <c r="V109" i="2"/>
  <c r="T109" i="2"/>
  <c r="S109" i="2"/>
  <c r="P109" i="2"/>
  <c r="Q109" i="2" s="1"/>
  <c r="I109" i="2"/>
  <c r="Z108" i="2"/>
  <c r="Y108" i="2"/>
  <c r="X108" i="2"/>
  <c r="W108" i="2"/>
  <c r="V108" i="2"/>
  <c r="T108" i="2"/>
  <c r="S108" i="2"/>
  <c r="P108" i="2"/>
  <c r="Q108" i="2" s="1"/>
  <c r="I108" i="2"/>
  <c r="Z107" i="2"/>
  <c r="Y107" i="2"/>
  <c r="X107" i="2"/>
  <c r="W107" i="2"/>
  <c r="V107" i="2"/>
  <c r="T107" i="2"/>
  <c r="S107" i="2"/>
  <c r="P107" i="2"/>
  <c r="Q107" i="2" s="1"/>
  <c r="I107" i="2"/>
  <c r="Z106" i="2"/>
  <c r="Y106" i="2"/>
  <c r="X106" i="2"/>
  <c r="W106" i="2"/>
  <c r="V106" i="2"/>
  <c r="T106" i="2"/>
  <c r="S106" i="2"/>
  <c r="P106" i="2"/>
  <c r="Q106" i="2" s="1"/>
  <c r="I106" i="2"/>
  <c r="Z105" i="2"/>
  <c r="Y105" i="2"/>
  <c r="X105" i="2"/>
  <c r="W105" i="2"/>
  <c r="V105" i="2"/>
  <c r="T105" i="2"/>
  <c r="S105" i="2"/>
  <c r="P105" i="2"/>
  <c r="Q105" i="2" s="1"/>
  <c r="I105" i="2"/>
  <c r="Z104" i="2"/>
  <c r="Y104" i="2"/>
  <c r="X104" i="2"/>
  <c r="W104" i="2"/>
  <c r="V104" i="2"/>
  <c r="T104" i="2"/>
  <c r="S104" i="2"/>
  <c r="P104" i="2"/>
  <c r="Q104" i="2" s="1"/>
  <c r="I104" i="2"/>
  <c r="F71" i="2" l="1"/>
  <c r="F66" i="2"/>
  <c r="F64" i="2"/>
  <c r="F63" i="2"/>
  <c r="F55" i="2"/>
  <c r="F54" i="2"/>
  <c r="F50" i="2" l="1"/>
  <c r="F48" i="2"/>
  <c r="F47" i="2"/>
  <c r="F46" i="2"/>
  <c r="F44" i="2"/>
  <c r="F40" i="2"/>
  <c r="F33" i="2"/>
  <c r="F22" i="2"/>
  <c r="F20" i="2"/>
  <c r="F17" i="2"/>
  <c r="F16" i="2"/>
  <c r="F15" i="2"/>
  <c r="F9" i="2"/>
  <c r="F8" i="2"/>
  <c r="P128" i="2"/>
  <c r="Q128" i="2" s="1"/>
  <c r="I128" i="2"/>
  <c r="Z103" i="2"/>
  <c r="Y103" i="2"/>
  <c r="X103" i="2"/>
  <c r="W103" i="2"/>
  <c r="V103" i="2"/>
  <c r="T103" i="2"/>
  <c r="S103" i="2"/>
  <c r="P103" i="2"/>
  <c r="Q103" i="2" s="1"/>
  <c r="I103" i="2"/>
  <c r="Z102" i="2"/>
  <c r="Y102" i="2"/>
  <c r="X102" i="2"/>
  <c r="W102" i="2"/>
  <c r="V102" i="2"/>
  <c r="T102" i="2"/>
  <c r="S102" i="2"/>
  <c r="P102" i="2"/>
  <c r="Q102" i="2" s="1"/>
  <c r="I102" i="2"/>
  <c r="Z101" i="2"/>
  <c r="Y101" i="2"/>
  <c r="X101" i="2"/>
  <c r="W101" i="2"/>
  <c r="V101" i="2"/>
  <c r="T101" i="2"/>
  <c r="S101" i="2"/>
  <c r="P101" i="2"/>
  <c r="Q101" i="2" s="1"/>
  <c r="I101" i="2"/>
  <c r="Z100" i="2"/>
  <c r="Y100" i="2"/>
  <c r="X100" i="2"/>
  <c r="W100" i="2"/>
  <c r="V100" i="2"/>
  <c r="T100" i="2"/>
  <c r="S100" i="2"/>
  <c r="P100" i="2"/>
  <c r="Q100" i="2" s="1"/>
  <c r="I100" i="2"/>
  <c r="Z99" i="2"/>
  <c r="Y99" i="2"/>
  <c r="X99" i="2"/>
  <c r="W99" i="2"/>
  <c r="V99" i="2"/>
  <c r="T99" i="2"/>
  <c r="S99" i="2"/>
  <c r="P99" i="2"/>
  <c r="Q99" i="2" s="1"/>
  <c r="I99" i="2"/>
  <c r="Z98" i="2"/>
  <c r="Y98" i="2"/>
  <c r="X98" i="2"/>
  <c r="W98" i="2"/>
  <c r="V98" i="2"/>
  <c r="T98" i="2"/>
  <c r="S98" i="2"/>
  <c r="P98" i="2"/>
  <c r="Q98" i="2" s="1"/>
  <c r="I98" i="2"/>
  <c r="Z97" i="2"/>
  <c r="Y97" i="2"/>
  <c r="X97" i="2"/>
  <c r="W97" i="2"/>
  <c r="V97" i="2"/>
  <c r="T97" i="2"/>
  <c r="S97" i="2"/>
  <c r="P97" i="2"/>
  <c r="Q97" i="2" s="1"/>
  <c r="I97" i="2"/>
  <c r="Z96" i="2"/>
  <c r="Y96" i="2"/>
  <c r="X96" i="2"/>
  <c r="W96" i="2"/>
  <c r="V96" i="2"/>
  <c r="T96" i="2"/>
  <c r="S96" i="2"/>
  <c r="P96" i="2"/>
  <c r="Q96" i="2" s="1"/>
  <c r="I96" i="2"/>
  <c r="Z95" i="2"/>
  <c r="Y95" i="2"/>
  <c r="X95" i="2"/>
  <c r="W95" i="2"/>
  <c r="V95" i="2"/>
  <c r="T95" i="2"/>
  <c r="S95" i="2"/>
  <c r="P95" i="2"/>
  <c r="Q95" i="2" s="1"/>
  <c r="I95" i="2"/>
  <c r="Z94" i="2"/>
  <c r="Y94" i="2"/>
  <c r="X94" i="2"/>
  <c r="W94" i="2"/>
  <c r="V94" i="2"/>
  <c r="T94" i="2"/>
  <c r="S94" i="2"/>
  <c r="P94" i="2"/>
  <c r="Q94" i="2" s="1"/>
  <c r="I94" i="2"/>
  <c r="Z93" i="2"/>
  <c r="Y93" i="2"/>
  <c r="X93" i="2"/>
  <c r="W93" i="2"/>
  <c r="V93" i="2"/>
  <c r="T93" i="2"/>
  <c r="S93" i="2"/>
  <c r="P93" i="2"/>
  <c r="Q93" i="2" s="1"/>
  <c r="I93" i="2"/>
  <c r="Z92" i="2"/>
  <c r="Y92" i="2"/>
  <c r="X92" i="2"/>
  <c r="W92" i="2"/>
  <c r="V92" i="2"/>
  <c r="T92" i="2"/>
  <c r="S92" i="2"/>
  <c r="P92" i="2"/>
  <c r="Q92" i="2" s="1"/>
  <c r="I92" i="2"/>
  <c r="Z91" i="2"/>
  <c r="Y91" i="2"/>
  <c r="X91" i="2"/>
  <c r="W91" i="2"/>
  <c r="V91" i="2"/>
  <c r="T91" i="2"/>
  <c r="S91" i="2"/>
  <c r="P91" i="2"/>
  <c r="Q91" i="2" s="1"/>
  <c r="I91" i="2"/>
  <c r="Z90" i="2"/>
  <c r="Y90" i="2"/>
  <c r="X90" i="2"/>
  <c r="W90" i="2"/>
  <c r="V90" i="2"/>
  <c r="T90" i="2"/>
  <c r="S90" i="2"/>
  <c r="P90" i="2"/>
  <c r="Q90" i="2" s="1"/>
  <c r="I90" i="2"/>
  <c r="Z89" i="2"/>
  <c r="Y89" i="2"/>
  <c r="X89" i="2"/>
  <c r="W89" i="2"/>
  <c r="V89" i="2"/>
  <c r="T89" i="2"/>
  <c r="S89" i="2"/>
  <c r="P89" i="2"/>
  <c r="Q89" i="2" s="1"/>
  <c r="I89" i="2"/>
  <c r="Z88" i="2"/>
  <c r="Y88" i="2"/>
  <c r="X88" i="2"/>
  <c r="W88" i="2"/>
  <c r="V88" i="2"/>
  <c r="T88" i="2"/>
  <c r="S88" i="2"/>
  <c r="P88" i="2"/>
  <c r="Q88" i="2" s="1"/>
  <c r="I88" i="2"/>
  <c r="Z87" i="2"/>
  <c r="Y87" i="2"/>
  <c r="X87" i="2"/>
  <c r="W87" i="2"/>
  <c r="V87" i="2"/>
  <c r="T87" i="2"/>
  <c r="S87" i="2"/>
  <c r="P87" i="2"/>
  <c r="Q87" i="2" s="1"/>
  <c r="I87" i="2"/>
  <c r="Z86" i="2"/>
  <c r="Y86" i="2"/>
  <c r="X86" i="2"/>
  <c r="W86" i="2"/>
  <c r="V86" i="2"/>
  <c r="T86" i="2"/>
  <c r="S86" i="2"/>
  <c r="P86" i="2"/>
  <c r="Q86" i="2" s="1"/>
  <c r="I86" i="2"/>
  <c r="Z85" i="2"/>
  <c r="Y85" i="2"/>
  <c r="X85" i="2"/>
  <c r="W85" i="2"/>
  <c r="V85" i="2"/>
  <c r="T85" i="2"/>
  <c r="S85" i="2"/>
  <c r="P85" i="2"/>
  <c r="Q85" i="2" s="1"/>
  <c r="I85" i="2"/>
  <c r="Z84" i="2"/>
  <c r="Y84" i="2"/>
  <c r="X84" i="2"/>
  <c r="W84" i="2"/>
  <c r="V84" i="2"/>
  <c r="T84" i="2"/>
  <c r="S84" i="2"/>
  <c r="P84" i="2"/>
  <c r="Q84" i="2" s="1"/>
  <c r="I84" i="2"/>
  <c r="Z83" i="2"/>
  <c r="Y83" i="2"/>
  <c r="X83" i="2"/>
  <c r="W83" i="2"/>
  <c r="V83" i="2"/>
  <c r="T83" i="2"/>
  <c r="S83" i="2"/>
  <c r="P83" i="2"/>
  <c r="Q83" i="2" s="1"/>
  <c r="I83" i="2"/>
  <c r="Z82" i="2"/>
  <c r="Y82" i="2"/>
  <c r="X82" i="2"/>
  <c r="W82" i="2"/>
  <c r="V82" i="2"/>
  <c r="T82" i="2"/>
  <c r="S82" i="2"/>
  <c r="P82" i="2"/>
  <c r="Q82" i="2" s="1"/>
  <c r="I82" i="2"/>
  <c r="Z81" i="2"/>
  <c r="Y81" i="2"/>
  <c r="X81" i="2"/>
  <c r="W81" i="2"/>
  <c r="V81" i="2"/>
  <c r="T81" i="2"/>
  <c r="S81" i="2"/>
  <c r="P81" i="2"/>
  <c r="Q81" i="2" s="1"/>
  <c r="I81" i="2"/>
  <c r="Z80" i="2"/>
  <c r="Y80" i="2"/>
  <c r="X80" i="2"/>
  <c r="W80" i="2"/>
  <c r="V80" i="2"/>
  <c r="T80" i="2"/>
  <c r="S80" i="2"/>
  <c r="P80" i="2"/>
  <c r="Q80" i="2" s="1"/>
  <c r="I80" i="2"/>
  <c r="Z79" i="2"/>
  <c r="Y79" i="2"/>
  <c r="X79" i="2"/>
  <c r="W79" i="2"/>
  <c r="V79" i="2"/>
  <c r="T79" i="2"/>
  <c r="S79" i="2"/>
  <c r="P79" i="2"/>
  <c r="Q79" i="2" s="1"/>
  <c r="I79" i="2"/>
  <c r="Z78" i="2"/>
  <c r="Y78" i="2"/>
  <c r="X78" i="2"/>
  <c r="W78" i="2"/>
  <c r="V78" i="2"/>
  <c r="T78" i="2"/>
  <c r="S78" i="2"/>
  <c r="P78" i="2"/>
  <c r="Q78" i="2" s="1"/>
  <c r="I78" i="2"/>
  <c r="Z77" i="2"/>
  <c r="Y77" i="2"/>
  <c r="X77" i="2"/>
  <c r="W77" i="2"/>
  <c r="V77" i="2"/>
  <c r="T77" i="2"/>
  <c r="S77" i="2"/>
  <c r="P77" i="2"/>
  <c r="Q77" i="2" s="1"/>
  <c r="I77" i="2"/>
  <c r="Z76" i="2"/>
  <c r="Y76" i="2"/>
  <c r="X76" i="2"/>
  <c r="W76" i="2"/>
  <c r="V76" i="2"/>
  <c r="T76" i="2"/>
  <c r="S76" i="2"/>
  <c r="P76" i="2"/>
  <c r="Q76" i="2" s="1"/>
  <c r="I76" i="2"/>
  <c r="Z75" i="2"/>
  <c r="Y75" i="2"/>
  <c r="X75" i="2"/>
  <c r="W75" i="2"/>
  <c r="V75" i="2"/>
  <c r="T75" i="2"/>
  <c r="S75" i="2"/>
  <c r="P75" i="2"/>
  <c r="Q75" i="2" s="1"/>
  <c r="I75" i="2"/>
  <c r="Z74" i="2"/>
  <c r="Y74" i="2"/>
  <c r="X74" i="2"/>
  <c r="W74" i="2"/>
  <c r="V74" i="2"/>
  <c r="T74" i="2"/>
  <c r="S74" i="2"/>
  <c r="P74" i="2"/>
  <c r="Q74" i="2" s="1"/>
  <c r="I74" i="2"/>
  <c r="Z73" i="2"/>
  <c r="Y73" i="2"/>
  <c r="X73" i="2"/>
  <c r="W73" i="2"/>
  <c r="V73" i="2"/>
  <c r="T73" i="2"/>
  <c r="S73" i="2"/>
  <c r="P73" i="2"/>
  <c r="Q73" i="2" s="1"/>
  <c r="I73" i="2"/>
  <c r="Z72" i="2"/>
  <c r="Y72" i="2"/>
  <c r="X72" i="2"/>
  <c r="W72" i="2"/>
  <c r="V72" i="2"/>
  <c r="T72" i="2"/>
  <c r="S72" i="2"/>
  <c r="P72" i="2"/>
  <c r="Q72" i="2" s="1"/>
  <c r="I72" i="2"/>
  <c r="Z71" i="2"/>
  <c r="Y71" i="2"/>
  <c r="X71" i="2"/>
  <c r="W71" i="2"/>
  <c r="V71" i="2"/>
  <c r="T71" i="2"/>
  <c r="S71" i="2"/>
  <c r="P71" i="2"/>
  <c r="Q71" i="2" s="1"/>
  <c r="I71" i="2"/>
  <c r="Z70" i="2"/>
  <c r="Y70" i="2"/>
  <c r="X70" i="2"/>
  <c r="W70" i="2"/>
  <c r="V70" i="2"/>
  <c r="T70" i="2"/>
  <c r="S70" i="2"/>
  <c r="P70" i="2"/>
  <c r="Q70" i="2" s="1"/>
  <c r="I70" i="2"/>
  <c r="Z69" i="2"/>
  <c r="Y69" i="2"/>
  <c r="X69" i="2"/>
  <c r="W69" i="2"/>
  <c r="V69" i="2"/>
  <c r="T69" i="2"/>
  <c r="S69" i="2"/>
  <c r="P69" i="2"/>
  <c r="Q69" i="2" s="1"/>
  <c r="I69" i="2"/>
  <c r="Z68" i="2"/>
  <c r="Y68" i="2"/>
  <c r="X68" i="2"/>
  <c r="W68" i="2"/>
  <c r="V68" i="2"/>
  <c r="T68" i="2"/>
  <c r="S68" i="2"/>
  <c r="P68" i="2"/>
  <c r="Q68" i="2" s="1"/>
  <c r="I68" i="2"/>
  <c r="Z67" i="2"/>
  <c r="Y67" i="2"/>
  <c r="X67" i="2"/>
  <c r="W67" i="2"/>
  <c r="V67" i="2"/>
  <c r="T67" i="2"/>
  <c r="S67" i="2"/>
  <c r="P67" i="2"/>
  <c r="Q67" i="2" s="1"/>
  <c r="I67" i="2"/>
  <c r="Z66" i="2"/>
  <c r="Y66" i="2"/>
  <c r="X66" i="2"/>
  <c r="W66" i="2"/>
  <c r="V66" i="2"/>
  <c r="T66" i="2"/>
  <c r="S66" i="2"/>
  <c r="P66" i="2"/>
  <c r="Q66" i="2" s="1"/>
  <c r="I66" i="2"/>
  <c r="Z65" i="2"/>
  <c r="Y65" i="2"/>
  <c r="X65" i="2"/>
  <c r="W65" i="2"/>
  <c r="V65" i="2"/>
  <c r="T65" i="2"/>
  <c r="S65" i="2"/>
  <c r="P65" i="2"/>
  <c r="Q65" i="2" s="1"/>
  <c r="I65" i="2"/>
  <c r="Z64" i="2"/>
  <c r="Y64" i="2"/>
  <c r="X64" i="2"/>
  <c r="W64" i="2"/>
  <c r="V64" i="2"/>
  <c r="T64" i="2"/>
  <c r="S64" i="2"/>
  <c r="P64" i="2"/>
  <c r="Q64" i="2" s="1"/>
  <c r="I64" i="2"/>
  <c r="Z63" i="2"/>
  <c r="Y63" i="2"/>
  <c r="X63" i="2"/>
  <c r="W63" i="2"/>
  <c r="V63" i="2"/>
  <c r="T63" i="2"/>
  <c r="S63" i="2"/>
  <c r="P63" i="2"/>
  <c r="Q63" i="2" s="1"/>
  <c r="I63" i="2"/>
  <c r="Z62" i="2"/>
  <c r="Y62" i="2"/>
  <c r="X62" i="2"/>
  <c r="W62" i="2"/>
  <c r="V62" i="2"/>
  <c r="T62" i="2"/>
  <c r="S62" i="2"/>
  <c r="P62" i="2"/>
  <c r="Q62" i="2" s="1"/>
  <c r="I62" i="2"/>
  <c r="Z61" i="2"/>
  <c r="Y61" i="2"/>
  <c r="X61" i="2"/>
  <c r="W61" i="2"/>
  <c r="V61" i="2"/>
  <c r="T61" i="2"/>
  <c r="S61" i="2"/>
  <c r="P61" i="2"/>
  <c r="Q61" i="2" s="1"/>
  <c r="I61" i="2"/>
  <c r="Z53" i="2"/>
  <c r="Y53" i="2"/>
  <c r="X53" i="2"/>
  <c r="W53" i="2"/>
  <c r="V53" i="2"/>
  <c r="T53" i="2"/>
  <c r="S53" i="2"/>
  <c r="P53" i="2"/>
  <c r="Q53" i="2" s="1"/>
  <c r="I53" i="2"/>
  <c r="Z52" i="2"/>
  <c r="Y52" i="2"/>
  <c r="X52" i="2"/>
  <c r="W52" i="2"/>
  <c r="V52" i="2"/>
  <c r="T52" i="2"/>
  <c r="S52" i="2"/>
  <c r="P52" i="2"/>
  <c r="Q52" i="2" s="1"/>
  <c r="I52" i="2"/>
  <c r="Z51" i="2"/>
  <c r="Y51" i="2"/>
  <c r="X51" i="2"/>
  <c r="W51" i="2"/>
  <c r="V51" i="2"/>
  <c r="T51" i="2"/>
  <c r="S51" i="2"/>
  <c r="P51" i="2"/>
  <c r="Q51" i="2" s="1"/>
  <c r="I51" i="2"/>
  <c r="Z50" i="2"/>
  <c r="Y50" i="2"/>
  <c r="X50" i="2"/>
  <c r="W50" i="2"/>
  <c r="V50" i="2"/>
  <c r="T50" i="2"/>
  <c r="S50" i="2"/>
  <c r="P50" i="2"/>
  <c r="Q50" i="2" s="1"/>
  <c r="I50" i="2"/>
  <c r="Z49" i="2"/>
  <c r="Y49" i="2"/>
  <c r="X49" i="2"/>
  <c r="W49" i="2"/>
  <c r="V49" i="2"/>
  <c r="T49" i="2"/>
  <c r="S49" i="2"/>
  <c r="P49" i="2"/>
  <c r="Q49" i="2" s="1"/>
  <c r="I49" i="2"/>
  <c r="Z48" i="2"/>
  <c r="Y48" i="2"/>
  <c r="X48" i="2"/>
  <c r="W48" i="2"/>
  <c r="V48" i="2"/>
  <c r="T48" i="2"/>
  <c r="S48" i="2"/>
  <c r="P48" i="2"/>
  <c r="Q48" i="2" s="1"/>
  <c r="I48" i="2"/>
  <c r="Z47" i="2"/>
  <c r="Y47" i="2"/>
  <c r="X47" i="2"/>
  <c r="W47" i="2"/>
  <c r="V47" i="2"/>
  <c r="T47" i="2"/>
  <c r="S47" i="2"/>
  <c r="P47" i="2"/>
  <c r="Q47" i="2" s="1"/>
  <c r="I47" i="2"/>
  <c r="Z46" i="2"/>
  <c r="Y46" i="2"/>
  <c r="X46" i="2"/>
  <c r="W46" i="2"/>
  <c r="V46" i="2"/>
  <c r="T46" i="2"/>
  <c r="S46" i="2"/>
  <c r="P46" i="2"/>
  <c r="Q46" i="2" s="1"/>
  <c r="I46" i="2"/>
  <c r="Z45" i="2"/>
  <c r="Y45" i="2"/>
  <c r="X45" i="2"/>
  <c r="W45" i="2"/>
  <c r="V45" i="2"/>
  <c r="T45" i="2"/>
  <c r="S45" i="2"/>
  <c r="P45" i="2"/>
  <c r="Q45" i="2" s="1"/>
  <c r="I45" i="2"/>
  <c r="Z44" i="2"/>
  <c r="Y44" i="2"/>
  <c r="X44" i="2"/>
  <c r="W44" i="2"/>
  <c r="V44" i="2"/>
  <c r="T44" i="2"/>
  <c r="S44" i="2"/>
  <c r="P44" i="2"/>
  <c r="Q44" i="2" s="1"/>
  <c r="I44" i="2"/>
  <c r="Z43" i="2"/>
  <c r="Y43" i="2"/>
  <c r="X43" i="2"/>
  <c r="W43" i="2"/>
  <c r="V43" i="2"/>
  <c r="T43" i="2"/>
  <c r="S43" i="2"/>
  <c r="P43" i="2"/>
  <c r="Q43" i="2" s="1"/>
  <c r="I43" i="2"/>
  <c r="Z42" i="2"/>
  <c r="Y42" i="2"/>
  <c r="X42" i="2"/>
  <c r="W42" i="2"/>
  <c r="V42" i="2"/>
  <c r="T42" i="2"/>
  <c r="S42" i="2"/>
  <c r="P42" i="2"/>
  <c r="Q42" i="2" s="1"/>
  <c r="I42" i="2"/>
  <c r="Z41" i="2"/>
  <c r="Y41" i="2"/>
  <c r="X41" i="2"/>
  <c r="W41" i="2"/>
  <c r="V41" i="2"/>
  <c r="T41" i="2"/>
  <c r="S41" i="2"/>
  <c r="P41" i="2"/>
  <c r="Q41" i="2" s="1"/>
  <c r="I41" i="2"/>
  <c r="Z40" i="2"/>
  <c r="Y40" i="2"/>
  <c r="X40" i="2"/>
  <c r="W40" i="2"/>
  <c r="V40" i="2"/>
  <c r="T40" i="2"/>
  <c r="S40" i="2"/>
  <c r="P40" i="2"/>
  <c r="Q40" i="2" s="1"/>
  <c r="I40" i="2"/>
  <c r="Z39" i="2"/>
  <c r="Y39" i="2"/>
  <c r="X39" i="2"/>
  <c r="W39" i="2"/>
  <c r="V39" i="2"/>
  <c r="T39" i="2"/>
  <c r="S39" i="2"/>
  <c r="P39" i="2"/>
  <c r="Q39" i="2" s="1"/>
  <c r="I39" i="2"/>
  <c r="Z38" i="2"/>
  <c r="Y38" i="2"/>
  <c r="X38" i="2"/>
  <c r="W38" i="2"/>
  <c r="V38" i="2"/>
  <c r="T38" i="2"/>
  <c r="S38" i="2"/>
  <c r="P38" i="2"/>
  <c r="Q38" i="2" s="1"/>
  <c r="I38" i="2"/>
  <c r="Z37" i="2"/>
  <c r="Y37" i="2"/>
  <c r="X37" i="2"/>
  <c r="W37" i="2"/>
  <c r="V37" i="2"/>
  <c r="T37" i="2"/>
  <c r="S37" i="2"/>
  <c r="P37" i="2"/>
  <c r="Q37" i="2" s="1"/>
  <c r="I37" i="2"/>
  <c r="Z36" i="2"/>
  <c r="Y36" i="2"/>
  <c r="X36" i="2"/>
  <c r="W36" i="2"/>
  <c r="V36" i="2"/>
  <c r="T36" i="2"/>
  <c r="S36" i="2"/>
  <c r="P36" i="2"/>
  <c r="Q36" i="2" s="1"/>
  <c r="I36" i="2"/>
  <c r="Z35" i="2"/>
  <c r="Y35" i="2"/>
  <c r="X35" i="2"/>
  <c r="W35" i="2"/>
  <c r="V35" i="2"/>
  <c r="T35" i="2"/>
  <c r="S35" i="2"/>
  <c r="P35" i="2"/>
  <c r="Q35" i="2" s="1"/>
  <c r="I35" i="2"/>
  <c r="Z34" i="2"/>
  <c r="Y34" i="2"/>
  <c r="X34" i="2"/>
  <c r="W34" i="2"/>
  <c r="V34" i="2"/>
  <c r="T34" i="2"/>
  <c r="S34" i="2"/>
  <c r="P34" i="2"/>
  <c r="Q34" i="2" s="1"/>
  <c r="I34" i="2"/>
  <c r="Z33" i="2"/>
  <c r="Y33" i="2"/>
  <c r="X33" i="2"/>
  <c r="W33" i="2"/>
  <c r="V33" i="2"/>
  <c r="T33" i="2"/>
  <c r="S33" i="2"/>
  <c r="P33" i="2"/>
  <c r="Q33" i="2" s="1"/>
  <c r="I33" i="2"/>
  <c r="Z32" i="2"/>
  <c r="Y32" i="2"/>
  <c r="X32" i="2"/>
  <c r="W32" i="2"/>
  <c r="V32" i="2"/>
  <c r="T32" i="2"/>
  <c r="S32" i="2"/>
  <c r="P32" i="2"/>
  <c r="Q32" i="2" s="1"/>
  <c r="I32" i="2"/>
  <c r="Z31" i="2"/>
  <c r="Y31" i="2"/>
  <c r="X31" i="2"/>
  <c r="W31" i="2"/>
  <c r="V31" i="2"/>
  <c r="T31" i="2"/>
  <c r="S31" i="2"/>
  <c r="P31" i="2"/>
  <c r="Q31" i="2" s="1"/>
  <c r="I31" i="2"/>
  <c r="Z30" i="2"/>
  <c r="Y30" i="2"/>
  <c r="X30" i="2"/>
  <c r="W30" i="2"/>
  <c r="V30" i="2"/>
  <c r="T30" i="2"/>
  <c r="S30" i="2"/>
  <c r="P30" i="2"/>
  <c r="Q30" i="2" s="1"/>
  <c r="I30" i="2"/>
  <c r="Z29" i="2"/>
  <c r="Y29" i="2"/>
  <c r="X29" i="2"/>
  <c r="W29" i="2"/>
  <c r="V29" i="2"/>
  <c r="T29" i="2"/>
  <c r="S29" i="2"/>
  <c r="P29" i="2"/>
  <c r="Q29" i="2" s="1"/>
  <c r="I29" i="2"/>
  <c r="Z28" i="2"/>
  <c r="Y28" i="2"/>
  <c r="X28" i="2"/>
  <c r="W28" i="2"/>
  <c r="V28" i="2"/>
  <c r="T28" i="2"/>
  <c r="S28" i="2"/>
  <c r="P28" i="2"/>
  <c r="Q28" i="2" s="1"/>
  <c r="I28" i="2"/>
  <c r="Z27" i="2"/>
  <c r="Y27" i="2"/>
  <c r="X27" i="2"/>
  <c r="W27" i="2"/>
  <c r="V27" i="2"/>
  <c r="T27" i="2"/>
  <c r="S27" i="2"/>
  <c r="P27" i="2"/>
  <c r="Q27" i="2" s="1"/>
  <c r="I27" i="2"/>
  <c r="Z26" i="2"/>
  <c r="Y26" i="2"/>
  <c r="X26" i="2"/>
  <c r="W26" i="2"/>
  <c r="V26" i="2"/>
  <c r="T26" i="2"/>
  <c r="S26" i="2"/>
  <c r="P26" i="2"/>
  <c r="Q26" i="2" s="1"/>
  <c r="I26" i="2"/>
  <c r="Z25" i="2"/>
  <c r="Y25" i="2"/>
  <c r="X25" i="2"/>
  <c r="W25" i="2"/>
  <c r="V25" i="2"/>
  <c r="T25" i="2"/>
  <c r="S25" i="2"/>
  <c r="P25" i="2"/>
  <c r="Q25" i="2" s="1"/>
  <c r="I25" i="2"/>
  <c r="Z24" i="2"/>
  <c r="Y24" i="2"/>
  <c r="X24" i="2"/>
  <c r="W24" i="2"/>
  <c r="V24" i="2"/>
  <c r="T24" i="2"/>
  <c r="S24" i="2"/>
  <c r="P24" i="2"/>
  <c r="Q24" i="2" s="1"/>
  <c r="I24" i="2"/>
  <c r="Z23" i="2"/>
  <c r="Y23" i="2"/>
  <c r="X23" i="2"/>
  <c r="W23" i="2"/>
  <c r="V23" i="2"/>
  <c r="T23" i="2"/>
  <c r="S23" i="2"/>
  <c r="P23" i="2"/>
  <c r="Q23" i="2" s="1"/>
  <c r="I23" i="2"/>
  <c r="Z22" i="2"/>
  <c r="Y22" i="2"/>
  <c r="X22" i="2"/>
  <c r="W22" i="2"/>
  <c r="V22" i="2"/>
  <c r="T22" i="2"/>
  <c r="S22" i="2"/>
  <c r="P22" i="2"/>
  <c r="Q22" i="2" s="1"/>
  <c r="I22" i="2"/>
  <c r="Z21" i="2"/>
  <c r="Y21" i="2"/>
  <c r="X21" i="2"/>
  <c r="W21" i="2"/>
  <c r="V21" i="2"/>
  <c r="T21" i="2"/>
  <c r="S21" i="2"/>
  <c r="P21" i="2"/>
  <c r="Q21" i="2" s="1"/>
  <c r="I21" i="2"/>
  <c r="Z20" i="2"/>
  <c r="Y20" i="2"/>
  <c r="X20" i="2"/>
  <c r="W20" i="2"/>
  <c r="V20" i="2"/>
  <c r="T20" i="2"/>
  <c r="S20" i="2"/>
  <c r="P20" i="2"/>
  <c r="Q20" i="2" s="1"/>
  <c r="I20" i="2"/>
  <c r="Z19" i="2"/>
  <c r="Y19" i="2"/>
  <c r="X19" i="2"/>
  <c r="W19" i="2"/>
  <c r="V19" i="2"/>
  <c r="T19" i="2"/>
  <c r="S19" i="2"/>
  <c r="P19" i="2"/>
  <c r="Q19" i="2" s="1"/>
  <c r="I19" i="2"/>
  <c r="Z18" i="2"/>
  <c r="Y18" i="2"/>
  <c r="X18" i="2"/>
  <c r="W18" i="2"/>
  <c r="V18" i="2"/>
  <c r="T18" i="2"/>
  <c r="S18" i="2"/>
  <c r="P18" i="2"/>
  <c r="Q18" i="2" s="1"/>
  <c r="I18" i="2"/>
  <c r="Z17" i="2"/>
  <c r="Y17" i="2"/>
  <c r="X17" i="2"/>
  <c r="W17" i="2"/>
  <c r="V17" i="2"/>
  <c r="T17" i="2"/>
  <c r="S17" i="2"/>
  <c r="P17" i="2"/>
  <c r="Q17" i="2" s="1"/>
  <c r="I17" i="2"/>
  <c r="Z16" i="2"/>
  <c r="Y16" i="2"/>
  <c r="X16" i="2"/>
  <c r="W16" i="2"/>
  <c r="V16" i="2"/>
  <c r="T16" i="2"/>
  <c r="S16" i="2"/>
  <c r="P16" i="2"/>
  <c r="Q16" i="2" s="1"/>
  <c r="I16" i="2"/>
  <c r="Z15" i="2"/>
  <c r="Y15" i="2"/>
  <c r="X15" i="2"/>
  <c r="W15" i="2"/>
  <c r="V15" i="2"/>
  <c r="T15" i="2"/>
  <c r="S15" i="2"/>
  <c r="P15" i="2"/>
  <c r="Q15" i="2" s="1"/>
  <c r="I15" i="2"/>
  <c r="Z14" i="2"/>
  <c r="Y14" i="2"/>
  <c r="X14" i="2"/>
  <c r="W14" i="2"/>
  <c r="V14" i="2"/>
  <c r="T14" i="2"/>
  <c r="S14" i="2"/>
  <c r="P14" i="2"/>
  <c r="Q14" i="2" s="1"/>
  <c r="I14" i="2"/>
  <c r="Z13" i="2"/>
  <c r="Y13" i="2"/>
  <c r="X13" i="2"/>
  <c r="W13" i="2"/>
  <c r="V13" i="2"/>
  <c r="T13" i="2"/>
  <c r="S13" i="2"/>
  <c r="P13" i="2"/>
  <c r="Q13" i="2" s="1"/>
  <c r="I13" i="2"/>
  <c r="Z12" i="2"/>
  <c r="Y12" i="2"/>
  <c r="X12" i="2"/>
  <c r="W12" i="2"/>
  <c r="V12" i="2"/>
  <c r="T12" i="2"/>
  <c r="S12" i="2"/>
  <c r="P12" i="2"/>
  <c r="Q12" i="2" s="1"/>
  <c r="I12" i="2"/>
  <c r="Z11" i="2"/>
  <c r="Y11" i="2"/>
  <c r="X11" i="2"/>
  <c r="W11" i="2"/>
  <c r="V11" i="2"/>
  <c r="T11" i="2"/>
  <c r="S11" i="2"/>
  <c r="P11" i="2"/>
  <c r="Q11" i="2" s="1"/>
  <c r="I11" i="2"/>
  <c r="Z10" i="2"/>
  <c r="Y10" i="2"/>
  <c r="X10" i="2"/>
  <c r="W10" i="2"/>
  <c r="V10" i="2"/>
  <c r="T10" i="2"/>
  <c r="S10" i="2"/>
  <c r="P10" i="2"/>
  <c r="Q10" i="2" s="1"/>
  <c r="I10" i="2"/>
  <c r="Z9" i="2"/>
  <c r="Y9" i="2"/>
  <c r="X9" i="2"/>
  <c r="W9" i="2"/>
  <c r="V9" i="2"/>
  <c r="T9" i="2"/>
  <c r="S9" i="2"/>
  <c r="P9" i="2"/>
  <c r="Q9" i="2" s="1"/>
  <c r="I9" i="2"/>
  <c r="T60" i="2"/>
  <c r="T59" i="2"/>
  <c r="T58" i="2"/>
  <c r="T57" i="2"/>
  <c r="T56" i="2"/>
  <c r="T55" i="2"/>
  <c r="T54" i="2"/>
  <c r="T8" i="2"/>
  <c r="T7" i="2"/>
  <c r="T6" i="2"/>
  <c r="Z60" i="2"/>
  <c r="Y60" i="2"/>
  <c r="X60" i="2"/>
  <c r="W60" i="2"/>
  <c r="V60" i="2"/>
  <c r="S60" i="2"/>
  <c r="P60" i="2"/>
  <c r="Q60" i="2" s="1"/>
  <c r="I60" i="2"/>
  <c r="Z59" i="2"/>
  <c r="Y59" i="2"/>
  <c r="X59" i="2"/>
  <c r="W59" i="2"/>
  <c r="V59" i="2"/>
  <c r="S59" i="2"/>
  <c r="P59" i="2"/>
  <c r="Q59" i="2" s="1"/>
  <c r="I59" i="2"/>
  <c r="Z58" i="2"/>
  <c r="Y58" i="2"/>
  <c r="X58" i="2"/>
  <c r="W58" i="2"/>
  <c r="V58" i="2"/>
  <c r="S58" i="2"/>
  <c r="P58" i="2"/>
  <c r="Q58" i="2" s="1"/>
  <c r="I58" i="2"/>
  <c r="Z57" i="2"/>
  <c r="Y57" i="2"/>
  <c r="X57" i="2"/>
  <c r="W57" i="2"/>
  <c r="V57" i="2"/>
  <c r="S57" i="2"/>
  <c r="P57" i="2"/>
  <c r="Q57" i="2" s="1"/>
  <c r="I57" i="2"/>
  <c r="Z56" i="2"/>
  <c r="Y56" i="2"/>
  <c r="X56" i="2"/>
  <c r="W56" i="2"/>
  <c r="V56" i="2"/>
  <c r="S56" i="2"/>
  <c r="P56" i="2"/>
  <c r="Q56" i="2" s="1"/>
  <c r="I56" i="2"/>
  <c r="Z55" i="2"/>
  <c r="Y55" i="2"/>
  <c r="X55" i="2"/>
  <c r="W55" i="2"/>
  <c r="V55" i="2"/>
  <c r="S55" i="2"/>
  <c r="P55" i="2"/>
  <c r="Q55" i="2" s="1"/>
  <c r="I55" i="2"/>
  <c r="Z54" i="2"/>
  <c r="Y54" i="2"/>
  <c r="X54" i="2"/>
  <c r="W54" i="2"/>
  <c r="V54" i="2"/>
  <c r="S54" i="2"/>
  <c r="P54" i="2"/>
  <c r="Q54" i="2" s="1"/>
  <c r="I54" i="2"/>
  <c r="Z8" i="2"/>
  <c r="Y8" i="2"/>
  <c r="X8" i="2"/>
  <c r="W8" i="2"/>
  <c r="V8" i="2"/>
  <c r="S8" i="2"/>
  <c r="P8" i="2"/>
  <c r="Q8" i="2" s="1"/>
  <c r="I8" i="2"/>
  <c r="AE7" i="2"/>
  <c r="AE8" i="2" s="1"/>
  <c r="AE9" i="2" s="1"/>
  <c r="AE10" i="2" s="1"/>
  <c r="AE11" i="2" s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AE38" i="2" s="1"/>
  <c r="AE39" i="2" s="1"/>
  <c r="AE40" i="2" s="1"/>
  <c r="AE41" i="2" s="1"/>
  <c r="AE42" i="2" s="1"/>
  <c r="AE43" i="2" s="1"/>
  <c r="AE44" i="2" s="1"/>
  <c r="AE45" i="2" s="1"/>
  <c r="AE46" i="2" s="1"/>
  <c r="AE47" i="2" s="1"/>
  <c r="AE48" i="2" s="1"/>
  <c r="AE49" i="2" s="1"/>
  <c r="AE50" i="2" s="1"/>
  <c r="AE51" i="2" s="1"/>
  <c r="AE52" i="2" s="1"/>
  <c r="AE53" i="2" s="1"/>
  <c r="AE54" i="2" s="1"/>
  <c r="AE55" i="2" s="1"/>
  <c r="AE56" i="2" s="1"/>
  <c r="AE57" i="2" s="1"/>
  <c r="AE58" i="2" s="1"/>
  <c r="AE59" i="2" s="1"/>
  <c r="AE60" i="2" s="1"/>
  <c r="AE61" i="2" s="1"/>
  <c r="AE62" i="2" s="1"/>
  <c r="AE63" i="2" s="1"/>
  <c r="AE64" i="2" s="1"/>
  <c r="AE65" i="2" s="1"/>
  <c r="AE66" i="2" s="1"/>
  <c r="AE67" i="2" s="1"/>
  <c r="AE68" i="2" s="1"/>
  <c r="AE69" i="2" s="1"/>
  <c r="AE70" i="2" s="1"/>
  <c r="AE71" i="2" s="1"/>
  <c r="AE72" i="2" s="1"/>
  <c r="AE73" i="2" s="1"/>
  <c r="AE74" i="2" s="1"/>
  <c r="AE75" i="2" s="1"/>
  <c r="AE76" i="2" s="1"/>
  <c r="AE77" i="2" s="1"/>
  <c r="AE78" i="2" s="1"/>
  <c r="AE79" i="2" s="1"/>
  <c r="AE80" i="2" s="1"/>
  <c r="AE81" i="2" s="1"/>
  <c r="AE82" i="2" s="1"/>
  <c r="AE83" i="2" s="1"/>
  <c r="AE84" i="2" s="1"/>
  <c r="AE85" i="2" s="1"/>
  <c r="AE86" i="2" s="1"/>
  <c r="AE87" i="2" s="1"/>
  <c r="AE88" i="2" s="1"/>
  <c r="AE89" i="2" s="1"/>
  <c r="AE90" i="2" s="1"/>
  <c r="AE91" i="2" s="1"/>
  <c r="AE92" i="2" s="1"/>
  <c r="AE93" i="2" s="1"/>
  <c r="AE94" i="2" s="1"/>
  <c r="AE95" i="2" s="1"/>
  <c r="AE96" i="2" s="1"/>
  <c r="AE97" i="2" s="1"/>
  <c r="AE98" i="2" s="1"/>
  <c r="AE99" i="2" s="1"/>
  <c r="AE100" i="2" s="1"/>
  <c r="AE101" i="2" s="1"/>
  <c r="AE102" i="2" s="1"/>
  <c r="AE103" i="2" s="1"/>
  <c r="AE104" i="2" s="1"/>
  <c r="AE105" i="2" s="1"/>
  <c r="AE106" i="2" s="1"/>
  <c r="AE107" i="2" s="1"/>
  <c r="AE108" i="2" s="1"/>
  <c r="AE109" i="2" s="1"/>
  <c r="AE110" i="2" s="1"/>
  <c r="AE111" i="2" s="1"/>
  <c r="AE112" i="2" s="1"/>
  <c r="AE113" i="2" s="1"/>
  <c r="AE114" i="2" s="1"/>
  <c r="AE115" i="2" s="1"/>
  <c r="AE116" i="2" s="1"/>
  <c r="AE117" i="2" s="1"/>
  <c r="AE118" i="2" s="1"/>
  <c r="AE119" i="2" s="1"/>
  <c r="AE120" i="2" s="1"/>
  <c r="AE121" i="2" s="1"/>
  <c r="AE122" i="2" s="1"/>
  <c r="AE123" i="2" s="1"/>
  <c r="AE124" i="2" s="1"/>
  <c r="AE125" i="2" s="1"/>
  <c r="AE126" i="2" s="1"/>
  <c r="AE127" i="2" s="1"/>
  <c r="AE128" i="2" s="1"/>
  <c r="Z7" i="2"/>
  <c r="Y7" i="2"/>
  <c r="X7" i="2"/>
  <c r="W7" i="2"/>
  <c r="V7" i="2"/>
  <c r="S7" i="2"/>
  <c r="P7" i="2"/>
  <c r="Q7" i="2" s="1"/>
  <c r="I7" i="2"/>
  <c r="Z6" i="2"/>
  <c r="Y6" i="2"/>
  <c r="X6" i="2"/>
  <c r="W6" i="2"/>
  <c r="V6" i="2"/>
  <c r="S6" i="2"/>
  <c r="P6" i="2"/>
  <c r="Q6" i="2" s="1"/>
  <c r="I6" i="2"/>
  <c r="AB4" i="2"/>
  <c r="U24" i="2" l="1"/>
  <c r="U32" i="2"/>
  <c r="U6" i="2"/>
  <c r="U16" i="2"/>
  <c r="U34" i="2"/>
  <c r="U33" i="2"/>
  <c r="U57" i="2"/>
  <c r="U14" i="2"/>
  <c r="U22" i="2"/>
  <c r="U30" i="2"/>
  <c r="U120" i="2"/>
  <c r="U119" i="2"/>
  <c r="U113" i="2"/>
  <c r="U111" i="2"/>
  <c r="U109" i="2"/>
  <c r="U107" i="2"/>
  <c r="U105" i="2"/>
  <c r="U108" i="2"/>
  <c r="U106" i="2"/>
  <c r="U104" i="2"/>
  <c r="U121" i="2"/>
  <c r="U128" i="2"/>
  <c r="U127" i="2"/>
  <c r="U126" i="2"/>
  <c r="U125" i="2"/>
  <c r="U124" i="2"/>
  <c r="U123" i="2"/>
  <c r="U122" i="2"/>
  <c r="U112" i="2"/>
  <c r="U110" i="2"/>
  <c r="U114" i="2"/>
  <c r="U117" i="2"/>
  <c r="U115" i="2"/>
  <c r="U116" i="2"/>
  <c r="U118" i="2"/>
  <c r="U12" i="2"/>
  <c r="U20" i="2"/>
  <c r="U28" i="2"/>
  <c r="AA119" i="2"/>
  <c r="AA125" i="2"/>
  <c r="AA120" i="2"/>
  <c r="AB120" i="2" s="1"/>
  <c r="AA124" i="2"/>
  <c r="AB124" i="2" s="1"/>
  <c r="AA123" i="2"/>
  <c r="AB123" i="2" s="1"/>
  <c r="AA127" i="2"/>
  <c r="AA126" i="2"/>
  <c r="AA121" i="2"/>
  <c r="AA122" i="2"/>
  <c r="U10" i="2"/>
  <c r="U18" i="2"/>
  <c r="U26" i="2"/>
  <c r="AA128" i="2"/>
  <c r="U75" i="2"/>
  <c r="AA109" i="2"/>
  <c r="AB109" i="2" s="1"/>
  <c r="AA105" i="2"/>
  <c r="AB105" i="2" s="1"/>
  <c r="AA114" i="2"/>
  <c r="AB114" i="2" s="1"/>
  <c r="AA118" i="2"/>
  <c r="AB118" i="2" s="1"/>
  <c r="AA110" i="2"/>
  <c r="AA106" i="2"/>
  <c r="AB106" i="2" s="1"/>
  <c r="AA113" i="2"/>
  <c r="AA117" i="2"/>
  <c r="AB117" i="2" s="1"/>
  <c r="AA112" i="2"/>
  <c r="AB112" i="2" s="1"/>
  <c r="AA111" i="2"/>
  <c r="AA104" i="2"/>
  <c r="AA107" i="2"/>
  <c r="AB107" i="2" s="1"/>
  <c r="AA115" i="2"/>
  <c r="AB115" i="2" s="1"/>
  <c r="AA108" i="2"/>
  <c r="AA116" i="2"/>
  <c r="U59" i="2"/>
  <c r="U67" i="2"/>
  <c r="U54" i="2"/>
  <c r="U9" i="2"/>
  <c r="U11" i="2"/>
  <c r="U13" i="2"/>
  <c r="U15" i="2"/>
  <c r="U17" i="2"/>
  <c r="U19" i="2"/>
  <c r="U21" i="2"/>
  <c r="U23" i="2"/>
  <c r="U25" i="2"/>
  <c r="U27" i="2"/>
  <c r="U29" i="2"/>
  <c r="U31" i="2"/>
  <c r="U35" i="2"/>
  <c r="U71" i="2"/>
  <c r="U8" i="2"/>
  <c r="U94" i="2"/>
  <c r="U55" i="2"/>
  <c r="U83" i="2"/>
  <c r="U7" i="2"/>
  <c r="U56" i="2"/>
  <c r="U60" i="2"/>
  <c r="U62" i="2"/>
  <c r="U64" i="2"/>
  <c r="U69" i="2"/>
  <c r="U58" i="2"/>
  <c r="U61" i="2"/>
  <c r="U63" i="2"/>
  <c r="U65" i="2"/>
  <c r="U73" i="2"/>
  <c r="U66" i="2"/>
  <c r="U68" i="2"/>
  <c r="U70" i="2"/>
  <c r="U72" i="2"/>
  <c r="U74" i="2"/>
  <c r="U88" i="2"/>
  <c r="U90" i="2"/>
  <c r="U85" i="2"/>
  <c r="U77" i="2"/>
  <c r="U87" i="2"/>
  <c r="U79" i="2"/>
  <c r="U81" i="2"/>
  <c r="U92" i="2"/>
  <c r="U76" i="2"/>
  <c r="U78" i="2"/>
  <c r="U80" i="2"/>
  <c r="U82" i="2"/>
  <c r="U84" i="2"/>
  <c r="U86" i="2"/>
  <c r="U98" i="2"/>
  <c r="U102" i="2"/>
  <c r="U100" i="2"/>
  <c r="U96" i="2"/>
  <c r="U36" i="2"/>
  <c r="U38" i="2"/>
  <c r="U40" i="2"/>
  <c r="U42" i="2"/>
  <c r="U44" i="2"/>
  <c r="U46" i="2"/>
  <c r="U48" i="2"/>
  <c r="U50" i="2"/>
  <c r="U52" i="2"/>
  <c r="U91" i="2"/>
  <c r="U95" i="2"/>
  <c r="U99" i="2"/>
  <c r="U103" i="2"/>
  <c r="U37" i="2"/>
  <c r="U39" i="2"/>
  <c r="U41" i="2"/>
  <c r="U43" i="2"/>
  <c r="U45" i="2"/>
  <c r="U47" i="2"/>
  <c r="U49" i="2"/>
  <c r="U51" i="2"/>
  <c r="U53" i="2"/>
  <c r="U89" i="2"/>
  <c r="U93" i="2"/>
  <c r="U97" i="2"/>
  <c r="U101" i="2"/>
  <c r="AA11" i="2"/>
  <c r="AA87" i="2"/>
  <c r="AA84" i="2"/>
  <c r="AA82" i="2"/>
  <c r="AA79" i="2"/>
  <c r="AA77" i="2"/>
  <c r="AA75" i="2"/>
  <c r="AA73" i="2"/>
  <c r="AA71" i="2"/>
  <c r="AA68" i="2"/>
  <c r="AA67" i="2"/>
  <c r="AA65" i="2"/>
  <c r="AA63" i="2"/>
  <c r="AA61" i="2"/>
  <c r="AA86" i="2"/>
  <c r="AA85" i="2"/>
  <c r="AA83" i="2"/>
  <c r="AA81" i="2"/>
  <c r="AA80" i="2"/>
  <c r="AA78" i="2"/>
  <c r="AA76" i="2"/>
  <c r="AA74" i="2"/>
  <c r="AA72" i="2"/>
  <c r="AA70" i="2"/>
  <c r="AA69" i="2"/>
  <c r="AA66" i="2"/>
  <c r="AA64" i="2"/>
  <c r="AA62" i="2"/>
  <c r="AA89" i="2"/>
  <c r="AA92" i="2"/>
  <c r="AA97" i="2"/>
  <c r="AA101" i="2"/>
  <c r="AA88" i="2"/>
  <c r="AA90" i="2"/>
  <c r="AA94" i="2"/>
  <c r="AA98" i="2"/>
  <c r="AA102" i="2"/>
  <c r="AA96" i="2"/>
  <c r="AA100" i="2"/>
  <c r="AA93" i="2"/>
  <c r="AA91" i="2"/>
  <c r="AA95" i="2"/>
  <c r="AA99" i="2"/>
  <c r="AA103" i="2"/>
  <c r="AA10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B34" i="2" s="1"/>
  <c r="AA33" i="2"/>
  <c r="AB33" i="2" s="1"/>
  <c r="AA32" i="2"/>
  <c r="AB32" i="2" s="1"/>
  <c r="AA31" i="2"/>
  <c r="AA30" i="2"/>
  <c r="AA29" i="2"/>
  <c r="AA28" i="2"/>
  <c r="AA27" i="2"/>
  <c r="AA26" i="2"/>
  <c r="AA25" i="2"/>
  <c r="AA24" i="2"/>
  <c r="AB24" i="2" s="1"/>
  <c r="AA23" i="2"/>
  <c r="AA22" i="2"/>
  <c r="AB22" i="2" s="1"/>
  <c r="AA21" i="2"/>
  <c r="AA20" i="2"/>
  <c r="AA19" i="2"/>
  <c r="AA18" i="2"/>
  <c r="AB18" i="2" s="1"/>
  <c r="AA17" i="2"/>
  <c r="AA16" i="2"/>
  <c r="AA15" i="2"/>
  <c r="AA14" i="2"/>
  <c r="AA13" i="2"/>
  <c r="AA12" i="2"/>
  <c r="AA9" i="2"/>
  <c r="AA54" i="2"/>
  <c r="AA8" i="2"/>
  <c r="AA55" i="2"/>
  <c r="AA59" i="2"/>
  <c r="AA56" i="2"/>
  <c r="AA57" i="2"/>
  <c r="AB57" i="2" s="1"/>
  <c r="AA58" i="2"/>
  <c r="AA60" i="2"/>
  <c r="AA6" i="2"/>
  <c r="AB6" i="2" s="1"/>
  <c r="AA7" i="2"/>
  <c r="AB12" i="2" l="1"/>
  <c r="AB16" i="2"/>
  <c r="AB14" i="2"/>
  <c r="AB10" i="2"/>
  <c r="AB75" i="2"/>
  <c r="AB104" i="2"/>
  <c r="AB119" i="2"/>
  <c r="AB122" i="2"/>
  <c r="AB126" i="2"/>
  <c r="AB125" i="2"/>
  <c r="AB20" i="2"/>
  <c r="AB28" i="2"/>
  <c r="AB113" i="2"/>
  <c r="AB116" i="2"/>
  <c r="AB121" i="2"/>
  <c r="AB26" i="2"/>
  <c r="AB30" i="2"/>
  <c r="AB108" i="2"/>
  <c r="AB111" i="2"/>
  <c r="AB110" i="2"/>
  <c r="AB128" i="2"/>
  <c r="AB127" i="2"/>
  <c r="AB59" i="2"/>
  <c r="AB55" i="2"/>
  <c r="AB58" i="2"/>
  <c r="AB76" i="2"/>
  <c r="AB7" i="2"/>
  <c r="AB8" i="2"/>
  <c r="AB17" i="2"/>
  <c r="AB49" i="2"/>
  <c r="AB99" i="2"/>
  <c r="AB80" i="2"/>
  <c r="AB38" i="2"/>
  <c r="AB52" i="2"/>
  <c r="AB82" i="2"/>
  <c r="AB41" i="2"/>
  <c r="AB72" i="2"/>
  <c r="AB60" i="2"/>
  <c r="AB9" i="2"/>
  <c r="AB19" i="2"/>
  <c r="AB95" i="2"/>
  <c r="AB48" i="2"/>
  <c r="AB40" i="2"/>
  <c r="AB86" i="2"/>
  <c r="AB78" i="2"/>
  <c r="AB90" i="2"/>
  <c r="AB70" i="2"/>
  <c r="AB65" i="2"/>
  <c r="AB56" i="2"/>
  <c r="AB94" i="2"/>
  <c r="AB54" i="2"/>
  <c r="AB101" i="2"/>
  <c r="AB53" i="2"/>
  <c r="AB45" i="2"/>
  <c r="AB37" i="2"/>
  <c r="AB91" i="2"/>
  <c r="AB46" i="2"/>
  <c r="AB84" i="2"/>
  <c r="AB87" i="2"/>
  <c r="AB88" i="2"/>
  <c r="AB68" i="2"/>
  <c r="AB13" i="2"/>
  <c r="AB23" i="2"/>
  <c r="AB100" i="2"/>
  <c r="AB63" i="2"/>
  <c r="AB64" i="2"/>
  <c r="AB29" i="2"/>
  <c r="AB21" i="2"/>
  <c r="AB67" i="2"/>
  <c r="AB47" i="2"/>
  <c r="AB69" i="2"/>
  <c r="AB15" i="2"/>
  <c r="AB97" i="2"/>
  <c r="AB51" i="2"/>
  <c r="AB43" i="2"/>
  <c r="AB103" i="2"/>
  <c r="AB44" i="2"/>
  <c r="AB36" i="2"/>
  <c r="AB102" i="2"/>
  <c r="AB92" i="2"/>
  <c r="AB77" i="2"/>
  <c r="AB74" i="2"/>
  <c r="AB66" i="2"/>
  <c r="AB61" i="2"/>
  <c r="AB62" i="2"/>
  <c r="AB83" i="2"/>
  <c r="AB71" i="2"/>
  <c r="AB27" i="2"/>
  <c r="AB11" i="2"/>
  <c r="AB89" i="2"/>
  <c r="AB39" i="2"/>
  <c r="AB79" i="2"/>
  <c r="AB31" i="2"/>
  <c r="AB93" i="2"/>
  <c r="AB50" i="2"/>
  <c r="AB42" i="2"/>
  <c r="AB96" i="2"/>
  <c r="AB98" i="2"/>
  <c r="AB81" i="2"/>
  <c r="AB85" i="2"/>
  <c r="AB73" i="2"/>
  <c r="AB35" i="2"/>
  <c r="AB25" i="2"/>
  <c r="AC127" i="2" l="1"/>
  <c r="AC125" i="2"/>
  <c r="AC126" i="2"/>
  <c r="AC124" i="2"/>
  <c r="AC123" i="2"/>
  <c r="AC122" i="2"/>
  <c r="AC121" i="2"/>
  <c r="AC120" i="2"/>
  <c r="AC128" i="2"/>
  <c r="C132" i="2" s="1"/>
  <c r="AC119" i="2"/>
  <c r="AC116" i="2"/>
  <c r="AC104" i="2"/>
  <c r="AC109" i="2"/>
  <c r="AC110" i="2"/>
  <c r="AC105" i="2"/>
  <c r="AC107" i="2"/>
  <c r="AC108" i="2"/>
  <c r="AC117" i="2"/>
  <c r="AC112" i="2"/>
  <c r="AC106" i="2"/>
  <c r="AC114" i="2"/>
  <c r="AC118" i="2"/>
  <c r="AC115" i="2"/>
  <c r="AC111" i="2"/>
  <c r="AC113" i="2"/>
  <c r="AC81" i="2"/>
  <c r="AC67" i="2"/>
  <c r="AC23" i="2"/>
  <c r="AC21" i="2"/>
  <c r="AC57" i="2"/>
  <c r="AC15" i="2"/>
  <c r="AC50" i="2"/>
  <c r="AC54" i="2"/>
  <c r="AC35" i="2"/>
  <c r="AC39" i="2"/>
  <c r="AC71" i="2"/>
  <c r="AC26" i="2"/>
  <c r="AC79" i="2"/>
  <c r="AC87" i="2"/>
  <c r="AC91" i="2"/>
  <c r="AC98" i="2"/>
  <c r="AC56" i="2"/>
  <c r="AC100" i="2"/>
  <c r="AC96" i="2"/>
  <c r="AC55" i="2"/>
  <c r="AC103" i="2"/>
  <c r="AC17" i="2"/>
  <c r="AC64" i="2"/>
  <c r="AC42" i="2"/>
  <c r="AC89" i="2"/>
  <c r="AC74" i="2"/>
  <c r="AC36" i="2"/>
  <c r="AC51" i="2"/>
  <c r="AC94" i="2"/>
  <c r="AC47" i="2"/>
  <c r="AC28" i="2"/>
  <c r="AC83" i="2"/>
  <c r="AC73" i="2"/>
  <c r="AC60" i="2"/>
  <c r="AC10" i="2"/>
  <c r="AC19" i="2"/>
  <c r="AC24" i="2"/>
  <c r="AC75" i="2"/>
  <c r="AC41" i="2"/>
  <c r="AC12" i="2"/>
  <c r="AC61" i="2"/>
  <c r="AC6" i="2"/>
  <c r="AC58" i="2"/>
  <c r="AC46" i="2"/>
  <c r="AC97" i="2"/>
  <c r="AC102" i="2"/>
  <c r="AC11" i="2"/>
  <c r="AC16" i="2"/>
  <c r="AC20" i="2"/>
  <c r="AC31" i="2"/>
  <c r="AC25" i="2"/>
  <c r="AC29" i="2"/>
  <c r="AC40" i="2"/>
  <c r="AC63" i="2"/>
  <c r="AC68" i="2"/>
  <c r="AC72" i="2"/>
  <c r="AC76" i="2"/>
  <c r="AC80" i="2"/>
  <c r="AC84" i="2"/>
  <c r="AC88" i="2"/>
  <c r="AC92" i="2"/>
  <c r="AC101" i="2"/>
  <c r="AC44" i="2"/>
  <c r="AC85" i="2"/>
  <c r="AC93" i="2"/>
  <c r="AC62" i="2"/>
  <c r="AC43" i="2"/>
  <c r="AC32" i="2"/>
  <c r="AC33" i="2"/>
  <c r="AC37" i="2"/>
  <c r="AC45" i="2"/>
  <c r="AC52" i="2"/>
  <c r="AC65" i="2"/>
  <c r="AC69" i="2"/>
  <c r="AC77" i="2"/>
  <c r="AC7" i="2"/>
  <c r="AC59" i="2"/>
  <c r="AC8" i="2"/>
  <c r="AC48" i="2"/>
  <c r="AC99" i="2"/>
  <c r="AC9" i="2"/>
  <c r="AC13" i="2"/>
  <c r="AC18" i="2"/>
  <c r="AC22" i="2"/>
  <c r="AC30" i="2"/>
  <c r="AC27" i="2"/>
  <c r="AC34" i="2"/>
  <c r="AC38" i="2"/>
  <c r="AC49" i="2"/>
  <c r="AC53" i="2"/>
  <c r="AC66" i="2"/>
  <c r="AC70" i="2"/>
  <c r="AC78" i="2"/>
  <c r="AC82" i="2"/>
  <c r="AC86" i="2"/>
  <c r="AC90" i="2"/>
  <c r="AC95" i="2"/>
  <c r="AC14" i="2"/>
  <c r="AG109" i="2" l="1"/>
  <c r="AG57" i="2"/>
  <c r="AH110" i="2"/>
  <c r="AG110" i="2"/>
  <c r="AF110" i="2"/>
  <c r="AF109" i="2"/>
  <c r="AG88" i="2"/>
  <c r="AG104" i="2"/>
  <c r="AH104" i="2"/>
  <c r="AF105" i="2"/>
  <c r="AH105" i="2"/>
  <c r="AG105" i="2"/>
  <c r="AF104" i="2"/>
  <c r="AH106" i="2"/>
  <c r="AF106" i="2"/>
  <c r="AG106" i="2"/>
  <c r="AH107" i="2"/>
  <c r="AG107" i="2"/>
  <c r="AF107" i="2"/>
  <c r="AH108" i="2"/>
  <c r="AF108" i="2"/>
  <c r="AG108" i="2"/>
  <c r="AH109" i="2"/>
  <c r="AG40" i="2"/>
  <c r="AF10" i="2"/>
  <c r="AH77" i="2"/>
  <c r="AG26" i="2"/>
  <c r="AG19" i="2"/>
  <c r="AG13" i="2"/>
  <c r="AG75" i="2"/>
  <c r="AH87" i="2"/>
  <c r="AH53" i="2"/>
  <c r="AH72" i="2"/>
  <c r="AH10" i="2"/>
  <c r="AH21" i="2"/>
  <c r="AG58" i="2"/>
  <c r="AG44" i="2"/>
  <c r="AG51" i="2"/>
  <c r="AH38" i="2"/>
  <c r="AH22" i="2"/>
  <c r="AH23" i="2"/>
  <c r="AF11" i="2"/>
  <c r="AH71" i="2"/>
  <c r="AF65" i="2"/>
  <c r="AH85" i="2"/>
  <c r="AF55" i="2"/>
  <c r="AF8" i="2"/>
  <c r="AG11" i="2"/>
  <c r="AG56" i="2"/>
  <c r="AH57" i="2"/>
  <c r="AH44" i="2"/>
  <c r="AG43" i="2"/>
  <c r="AG10" i="2"/>
  <c r="AH99" i="2"/>
  <c r="AF64" i="2"/>
  <c r="AG7" i="2"/>
  <c r="AG99" i="2"/>
  <c r="AH92" i="2"/>
  <c r="AG64" i="2"/>
  <c r="AG96" i="2"/>
  <c r="AH29" i="2"/>
  <c r="AG95" i="2"/>
  <c r="AG45" i="2"/>
  <c r="AH58" i="2"/>
  <c r="AG91" i="2"/>
  <c r="AG25" i="2"/>
  <c r="AG74" i="2"/>
  <c r="AH39" i="2"/>
  <c r="AH103" i="2"/>
  <c r="AF61" i="2"/>
  <c r="AG31" i="2"/>
  <c r="AH24" i="2"/>
  <c r="AG24" i="2"/>
  <c r="AG72" i="2"/>
  <c r="AH37" i="2"/>
  <c r="AH61" i="2"/>
  <c r="AH93" i="2"/>
  <c r="AG77" i="2"/>
  <c r="AH74" i="2"/>
  <c r="AH40" i="2"/>
  <c r="AG90" i="2"/>
  <c r="AH55" i="2"/>
  <c r="AG47" i="2"/>
  <c r="AH48" i="2"/>
  <c r="AG80" i="2"/>
  <c r="AH13" i="2"/>
  <c r="AH45" i="2"/>
  <c r="AH69" i="2"/>
  <c r="AH101" i="2"/>
  <c r="AH96" i="2"/>
  <c r="AH90" i="2"/>
  <c r="AH88" i="2"/>
  <c r="AG89" i="2"/>
  <c r="AG42" i="2"/>
  <c r="AH7" i="2"/>
  <c r="AF54" i="2"/>
  <c r="AF6" i="2"/>
  <c r="AF9" i="2"/>
  <c r="AF62" i="2"/>
  <c r="AG23" i="2"/>
  <c r="AG15" i="2"/>
  <c r="AG59" i="2"/>
  <c r="AH12" i="2"/>
  <c r="AH60" i="2"/>
  <c r="AG12" i="2"/>
  <c r="AG52" i="2"/>
  <c r="AG68" i="2"/>
  <c r="AG84" i="2"/>
  <c r="AG100" i="2"/>
  <c r="AH17" i="2"/>
  <c r="AH33" i="2"/>
  <c r="AH49" i="2"/>
  <c r="AH65" i="2"/>
  <c r="AH81" i="2"/>
  <c r="AH97" i="2"/>
  <c r="AG63" i="2"/>
  <c r="AH8" i="2"/>
  <c r="AH56" i="2"/>
  <c r="AG8" i="2"/>
  <c r="AG21" i="2"/>
  <c r="AG53" i="2"/>
  <c r="AG85" i="2"/>
  <c r="AH18" i="2"/>
  <c r="AH46" i="2"/>
  <c r="AH62" i="2"/>
  <c r="AH78" i="2"/>
  <c r="AH94" i="2"/>
  <c r="AG55" i="2"/>
  <c r="AG103" i="2"/>
  <c r="AH52" i="2"/>
  <c r="AH100" i="2"/>
  <c r="AG48" i="2"/>
  <c r="AG33" i="2"/>
  <c r="AG65" i="2"/>
  <c r="AG97" i="2"/>
  <c r="AH30" i="2"/>
  <c r="AG14" i="2"/>
  <c r="AG30" i="2"/>
  <c r="AG46" i="2"/>
  <c r="AG62" i="2"/>
  <c r="AG78" i="2"/>
  <c r="AG94" i="2"/>
  <c r="AH11" i="2"/>
  <c r="AH27" i="2"/>
  <c r="AH43" i="2"/>
  <c r="AH59" i="2"/>
  <c r="AH75" i="2"/>
  <c r="AH91" i="2"/>
  <c r="AG71" i="2"/>
  <c r="AH20" i="2"/>
  <c r="AH68" i="2"/>
  <c r="AG20" i="2"/>
  <c r="AG29" i="2"/>
  <c r="AG61" i="2"/>
  <c r="AG93" i="2"/>
  <c r="AH26" i="2"/>
  <c r="AH50" i="2"/>
  <c r="AH66" i="2"/>
  <c r="AH82" i="2"/>
  <c r="AH98" i="2"/>
  <c r="AG67" i="2"/>
  <c r="AH16" i="2"/>
  <c r="AH64" i="2"/>
  <c r="AG16" i="2"/>
  <c r="AG9" i="2"/>
  <c r="AG41" i="2"/>
  <c r="AG73" i="2"/>
  <c r="AH6" i="2"/>
  <c r="AH42" i="2"/>
  <c r="AG18" i="2"/>
  <c r="AG34" i="2"/>
  <c r="AG50" i="2"/>
  <c r="AG66" i="2"/>
  <c r="AG82" i="2"/>
  <c r="AG98" i="2"/>
  <c r="AH15" i="2"/>
  <c r="AH31" i="2"/>
  <c r="AH47" i="2"/>
  <c r="AH63" i="2"/>
  <c r="AH79" i="2"/>
  <c r="AH95" i="2"/>
  <c r="AF7" i="2"/>
  <c r="AF12" i="2"/>
  <c r="AF66" i="2"/>
  <c r="AF63" i="2"/>
  <c r="AG27" i="2"/>
  <c r="AG35" i="2"/>
  <c r="AG83" i="2"/>
  <c r="AH36" i="2"/>
  <c r="AH84" i="2"/>
  <c r="AG36" i="2"/>
  <c r="AG60" i="2"/>
  <c r="AG76" i="2"/>
  <c r="AG92" i="2"/>
  <c r="AH9" i="2"/>
  <c r="AH25" i="2"/>
  <c r="AH41" i="2"/>
  <c r="AH73" i="2"/>
  <c r="AH89" i="2"/>
  <c r="AG39" i="2"/>
  <c r="AG87" i="2"/>
  <c r="AH32" i="2"/>
  <c r="AH80" i="2"/>
  <c r="AG28" i="2"/>
  <c r="AG37" i="2"/>
  <c r="AG69" i="2"/>
  <c r="AG101" i="2"/>
  <c r="AH34" i="2"/>
  <c r="AH54" i="2"/>
  <c r="AH70" i="2"/>
  <c r="AH86" i="2"/>
  <c r="AH102" i="2"/>
  <c r="AG79" i="2"/>
  <c r="AH28" i="2"/>
  <c r="AH76" i="2"/>
  <c r="AG32" i="2"/>
  <c r="AG17" i="2"/>
  <c r="AG49" i="2"/>
  <c r="AG81" i="2"/>
  <c r="AH14" i="2"/>
  <c r="AG6" i="2"/>
  <c r="AG22" i="2"/>
  <c r="AG38" i="2"/>
  <c r="AG54" i="2"/>
  <c r="AG70" i="2"/>
  <c r="AG86" i="2"/>
  <c r="AG102" i="2"/>
  <c r="AH19" i="2"/>
  <c r="AH35" i="2"/>
  <c r="AH51" i="2"/>
  <c r="AH67" i="2"/>
  <c r="AH83" i="2"/>
  <c r="AF67" i="2"/>
  <c r="AF13" i="2"/>
  <c r="AF56" i="2"/>
  <c r="AH111" i="2" l="1"/>
  <c r="AG111" i="2"/>
  <c r="AF111" i="2"/>
  <c r="AF68" i="2"/>
  <c r="AF14" i="2"/>
  <c r="AF57" i="2"/>
  <c r="AG112" i="2" l="1"/>
  <c r="AF112" i="2"/>
  <c r="AH112" i="2"/>
  <c r="AF69" i="2"/>
  <c r="AF15" i="2"/>
  <c r="AF58" i="2"/>
  <c r="AF113" i="2" l="1"/>
  <c r="AH113" i="2"/>
  <c r="AG113" i="2"/>
  <c r="AF70" i="2"/>
  <c r="AF16" i="2"/>
  <c r="AF59" i="2"/>
  <c r="AH114" i="2" l="1"/>
  <c r="AF114" i="2"/>
  <c r="AG114" i="2"/>
  <c r="AF71" i="2"/>
  <c r="AF17" i="2"/>
  <c r="AF60" i="2"/>
  <c r="AH115" i="2" l="1"/>
  <c r="AG115" i="2"/>
  <c r="AF115" i="2"/>
  <c r="AF72" i="2"/>
  <c r="AF18" i="2"/>
  <c r="AG116" i="2" l="1"/>
  <c r="AF116" i="2"/>
  <c r="AH116" i="2"/>
  <c r="AF73" i="2"/>
  <c r="AF19" i="2"/>
  <c r="AF117" i="2" l="1"/>
  <c r="AH117" i="2"/>
  <c r="AG117" i="2"/>
  <c r="AF74" i="2"/>
  <c r="AF20" i="2"/>
  <c r="AF119" i="2" l="1"/>
  <c r="AG119" i="2"/>
  <c r="AH119" i="2"/>
  <c r="AH118" i="2"/>
  <c r="AG118" i="2"/>
  <c r="AF118" i="2"/>
  <c r="AF75" i="2"/>
  <c r="AF21" i="2"/>
  <c r="AH120" i="2" l="1"/>
  <c r="AG120" i="2"/>
  <c r="AF120" i="2"/>
  <c r="AF76" i="2"/>
  <c r="AF22" i="2"/>
  <c r="AH121" i="2" l="1"/>
  <c r="AG121" i="2"/>
  <c r="AF121" i="2"/>
  <c r="AH128" i="2"/>
  <c r="AG128" i="2"/>
  <c r="AF128" i="2"/>
  <c r="AF77" i="2"/>
  <c r="AF23" i="2"/>
  <c r="AH122" i="2" l="1"/>
  <c r="AF122" i="2"/>
  <c r="AG122" i="2"/>
  <c r="AF78" i="2"/>
  <c r="AF24" i="2"/>
  <c r="AH123" i="2" l="1"/>
  <c r="AF123" i="2"/>
  <c r="AG123" i="2"/>
  <c r="AF79" i="2"/>
  <c r="AF25" i="2"/>
  <c r="AG124" i="2" l="1"/>
  <c r="AF124" i="2"/>
  <c r="AH124" i="2"/>
  <c r="AF80" i="2"/>
  <c r="AF26" i="2"/>
  <c r="AH125" i="2" l="1"/>
  <c r="AG125" i="2"/>
  <c r="AF125" i="2"/>
  <c r="AF81" i="2"/>
  <c r="AF27" i="2"/>
  <c r="AF126" i="2" l="1"/>
  <c r="AH126" i="2"/>
  <c r="AG126" i="2"/>
  <c r="AF82" i="2"/>
  <c r="AF28" i="2"/>
  <c r="AF127" i="2" l="1"/>
  <c r="AH127" i="2"/>
  <c r="AG127" i="2"/>
  <c r="AF83" i="2"/>
  <c r="AF29" i="2"/>
  <c r="AF84" i="2" l="1"/>
  <c r="AF30" i="2"/>
  <c r="AF85" i="2" l="1"/>
  <c r="AF31" i="2"/>
  <c r="AF86" i="2" l="1"/>
  <c r="AF32" i="2"/>
  <c r="AF87" i="2" l="1"/>
  <c r="AF33" i="2"/>
  <c r="AF88" i="2" l="1"/>
  <c r="AF34" i="2"/>
  <c r="AF89" i="2" l="1"/>
  <c r="AF35" i="2"/>
  <c r="AF90" i="2" l="1"/>
  <c r="AF36" i="2"/>
  <c r="AF91" i="2" l="1"/>
  <c r="AF37" i="2"/>
  <c r="AF92" i="2" l="1"/>
  <c r="AF38" i="2"/>
  <c r="AF93" i="2" l="1"/>
  <c r="AF39" i="2"/>
  <c r="AF94" i="2" l="1"/>
  <c r="AF40" i="2"/>
  <c r="AF95" i="2" l="1"/>
  <c r="AF41" i="2"/>
  <c r="AF96" i="2" l="1"/>
  <c r="AF42" i="2"/>
  <c r="AF97" i="2" l="1"/>
  <c r="AF43" i="2"/>
  <c r="AF98" i="2" l="1"/>
  <c r="AF44" i="2"/>
  <c r="AF99" i="2" l="1"/>
  <c r="AF45" i="2"/>
  <c r="AF100" i="2" l="1"/>
  <c r="AF46" i="2"/>
  <c r="AF101" i="2" l="1"/>
  <c r="AF47" i="2"/>
  <c r="AF102" i="2" l="1"/>
  <c r="AF48" i="2"/>
  <c r="AF103" i="2" l="1"/>
  <c r="AF49" i="2"/>
  <c r="AF50" i="2" l="1"/>
  <c r="AF51" i="2" l="1"/>
  <c r="AF52" i="2" l="1"/>
  <c r="AF53" i="2" l="1"/>
</calcChain>
</file>

<file path=xl/sharedStrings.xml><?xml version="1.0" encoding="utf-8"?>
<sst xmlns="http://schemas.openxmlformats.org/spreadsheetml/2006/main" count="277" uniqueCount="182">
  <si>
    <t>RELATIVE VALUATION MODEL TEMPLATE</t>
  </si>
  <si>
    <t>Address</t>
  </si>
  <si>
    <t>Distance from Subject Property (km)</t>
  </si>
  <si>
    <t>Net Asking Rent</t>
  </si>
  <si>
    <t>TMI</t>
  </si>
  <si>
    <t>Gross Asking Rent</t>
  </si>
  <si>
    <t>Available SF</t>
  </si>
  <si>
    <t>Net Asking Rank</t>
  </si>
  <si>
    <t>TMI Rank</t>
  </si>
  <si>
    <t>Class Rank</t>
  </si>
  <si>
    <t>Difference in Area SF</t>
  </si>
  <si>
    <t>Difference in Area Rank</t>
  </si>
  <si>
    <t>Distance Rank</t>
  </si>
  <si>
    <t>RELATIVE RANKING</t>
  </si>
  <si>
    <t>RELATIVE RANKING (SORTED)</t>
  </si>
  <si>
    <t>PROPERTY</t>
  </si>
  <si>
    <t>Weighted Score</t>
  </si>
  <si>
    <t>Year Built</t>
  </si>
  <si>
    <t>Parking Ratio (x per 1,000sf)</t>
  </si>
  <si>
    <t>Parking Ratio</t>
  </si>
  <si>
    <t>WEIGHTINGS</t>
  </si>
  <si>
    <t>Class (A = 1)</t>
  </si>
  <si>
    <t>WEIGHTED SCORE</t>
  </si>
  <si>
    <t>Clear Height (ft)</t>
  </si>
  <si>
    <t>% Office Space</t>
  </si>
  <si>
    <t>Unit</t>
  </si>
  <si>
    <t>2798 Thamesgate Dr</t>
  </si>
  <si>
    <t>1320 Mid-Way Blvd</t>
  </si>
  <si>
    <t>1575 Trinity Dr</t>
  </si>
  <si>
    <t>5456 Tomken Rd</t>
  </si>
  <si>
    <t>2222 South Sheri... Way</t>
  </si>
  <si>
    <t>2410 Tedlo St</t>
  </si>
  <si>
    <t>6355 Kennedy Rd</t>
  </si>
  <si>
    <t>2390 Cawthra Rd</t>
  </si>
  <si>
    <t>5100 Maingate Dr</t>
  </si>
  <si>
    <t>1-2</t>
  </si>
  <si>
    <t>6345 Netherhart Rd E</t>
  </si>
  <si>
    <t>5315 Tomken Rd</t>
  </si>
  <si>
    <t>401 Traders Blvd E</t>
  </si>
  <si>
    <t>2709 Rena Rd</t>
  </si>
  <si>
    <t>2711 Rena Rd</t>
  </si>
  <si>
    <t>3663 Mavis Rd</t>
  </si>
  <si>
    <t>2045 Dundas St E</t>
  </si>
  <si>
    <t>1011 Haultain Crt</t>
  </si>
  <si>
    <t>7270 Torbram Rd</t>
  </si>
  <si>
    <t>10-11</t>
  </si>
  <si>
    <t>7290 Torbram Rd</t>
  </si>
  <si>
    <t>11-12</t>
  </si>
  <si>
    <t>2405 Drew Rd</t>
  </si>
  <si>
    <t>3120 Glen Erin Dr</t>
  </si>
  <si>
    <t>1775 Meyerside Dr</t>
  </si>
  <si>
    <t>6660 Kennedy Rd</t>
  </si>
  <si>
    <t>4A</t>
  </si>
  <si>
    <t>5B</t>
  </si>
  <si>
    <t>1575 Sismet Rd</t>
  </si>
  <si>
    <t>5-6</t>
  </si>
  <si>
    <t>7895 Tranmere Dr</t>
  </si>
  <si>
    <t>2773 Thamesgate Dr</t>
  </si>
  <si>
    <t>1295 Eglinton Ave E</t>
  </si>
  <si>
    <t>27-28</t>
  </si>
  <si>
    <t>245 Matheson Blvd E</t>
  </si>
  <si>
    <t>6150 Kennedy Rd</t>
  </si>
  <si>
    <t>5250 Satellite Dr</t>
  </si>
  <si>
    <t>1578 Finfar Crt</t>
  </si>
  <si>
    <t>6535 Millcreek Dr</t>
  </si>
  <si>
    <t>5266 General Rd</t>
  </si>
  <si>
    <t>5288 General Rd</t>
  </si>
  <si>
    <t>170 Ambassador Dr</t>
  </si>
  <si>
    <t>2446 Cawthra Rd</t>
  </si>
  <si>
    <t>1565 Britannia Rd E</t>
  </si>
  <si>
    <t>1235 Shawson Dr</t>
  </si>
  <si>
    <t>6810 Kitimat Rd</t>
  </si>
  <si>
    <t>5484 Tomken Rd</t>
  </si>
  <si>
    <t>3190 Ridgeway Dr</t>
  </si>
  <si>
    <t>16-17</t>
  </si>
  <si>
    <t>6315 Shawson Dr</t>
  </si>
  <si>
    <t>996 Westport Cres</t>
  </si>
  <si>
    <t>6635 Kitimat #29 Rd</t>
  </si>
  <si>
    <t>3257 Lenworth Dr</t>
  </si>
  <si>
    <t>B</t>
  </si>
  <si>
    <t>2500 Meadowpine Blvd</t>
  </si>
  <si>
    <t>6295 Northam Dr</t>
  </si>
  <si>
    <t>6625 Tomken Rd</t>
  </si>
  <si>
    <t>2666 Royal Winds... Dr</t>
  </si>
  <si>
    <t>385 Admiral Blvd</t>
  </si>
  <si>
    <t>1200 Aerowood Dr</t>
  </si>
  <si>
    <t>4060 Ridgeway Dr</t>
  </si>
  <si>
    <t>3490 Laird Rd</t>
  </si>
  <si>
    <t>4-5</t>
  </si>
  <si>
    <t>2455 Cawthra Rd</t>
  </si>
  <si>
    <t>2465 Cawthra Rd</t>
  </si>
  <si>
    <t>12-13</t>
  </si>
  <si>
    <t>113-114</t>
  </si>
  <si>
    <t>3170 Ridgeway Dr</t>
  </si>
  <si>
    <t>4161 Sladeview Cres</t>
  </si>
  <si>
    <t>2776 Slough St</t>
  </si>
  <si>
    <t>3495 Laird Rd</t>
  </si>
  <si>
    <t>3200 Ridgeway Dr</t>
  </si>
  <si>
    <t>3600A Laird Rd</t>
  </si>
  <si>
    <t>2850 Argentia Rd</t>
  </si>
  <si>
    <t>3615 Laird Rd</t>
  </si>
  <si>
    <t>4181 Sladeview Cres</t>
  </si>
  <si>
    <t>Landlord</t>
  </si>
  <si>
    <t>The Hamtor Group Inc.</t>
  </si>
  <si>
    <t>2435328 Ontario Ltd.</t>
  </si>
  <si>
    <t>5456 Tomken Ltd.</t>
  </si>
  <si>
    <t>1179481 Ontario Limited</t>
  </si>
  <si>
    <t>Skyline Commercial Real Estate Holdings Inc</t>
  </si>
  <si>
    <t>Black Rock Realty (Stoney Creek) Limited</t>
  </si>
  <si>
    <t>Regent Lumber &amp; Building Supplies</t>
  </si>
  <si>
    <t>1159048 Ontario Inc.</t>
  </si>
  <si>
    <t>Menkes</t>
  </si>
  <si>
    <t>Elia Holdings Inc.</t>
  </si>
  <si>
    <t>Ledenhall Traders Limited</t>
  </si>
  <si>
    <t>Rena Road Holdings Inc.</t>
  </si>
  <si>
    <t>Hajuna Investments Limited</t>
  </si>
  <si>
    <t>Sorbara Group</t>
  </si>
  <si>
    <t>Richview Construction Company Limited</t>
  </si>
  <si>
    <t>Piret</t>
  </si>
  <si>
    <t>Glenwin Properties Inc.</t>
  </si>
  <si>
    <t>Dixie Business Park Holdings Inc.</t>
  </si>
  <si>
    <t>Manulife</t>
  </si>
  <si>
    <t>Sismet South Properties Inc.</t>
  </si>
  <si>
    <t>Alliance Real Estate Holdings</t>
  </si>
  <si>
    <t>GPM</t>
  </si>
  <si>
    <t>Industructures Limited</t>
  </si>
  <si>
    <t>Kostruba &amp; Sons Inc.</t>
  </si>
  <si>
    <t>BCIMC</t>
  </si>
  <si>
    <t>Marble Point Properties Inc.</t>
  </si>
  <si>
    <t>1556373 Ontario Limited</t>
  </si>
  <si>
    <t>Lcpf Realty Inc.</t>
  </si>
  <si>
    <t>CREIT</t>
  </si>
  <si>
    <t>Ben-Ted Construction</t>
  </si>
  <si>
    <t>1545-1565 Britannia Road East Inc.</t>
  </si>
  <si>
    <t>Value Of Ontario Ltd.</t>
  </si>
  <si>
    <t>Meadowvale Industrial Mall Ltd</t>
  </si>
  <si>
    <t>1119524 Ontario Ltd</t>
  </si>
  <si>
    <t>2725312 Canada Inc.</t>
  </si>
  <si>
    <t>Georgian Properties Corporation</t>
  </si>
  <si>
    <t>Crownhill Properties Ltd</t>
  </si>
  <si>
    <t>Bishay Holdings Ltd.</t>
  </si>
  <si>
    <t>Bluestar Cupido Group</t>
  </si>
  <si>
    <t>Triovest</t>
  </si>
  <si>
    <t>Epic</t>
  </si>
  <si>
    <t>Kingsett</t>
  </si>
  <si>
    <t>12278372 Ontario Inc</t>
  </si>
  <si>
    <t>GWL</t>
  </si>
  <si>
    <t>7304307 Canada Inc.</t>
  </si>
  <si>
    <t>UNIT</t>
  </si>
  <si>
    <t>2820 Argentia Road</t>
  </si>
  <si>
    <t>2900 Argentia Road</t>
  </si>
  <si>
    <t>1495 Bonhill Road</t>
  </si>
  <si>
    <t>7&amp;8</t>
  </si>
  <si>
    <t>7050 Bramalea Road</t>
  </si>
  <si>
    <t>1245 Cardiff Blvd</t>
  </si>
  <si>
    <t>6760 Davand Drive</t>
  </si>
  <si>
    <t>2405-2421 Drew Road</t>
  </si>
  <si>
    <t>2585 Drew Road</t>
  </si>
  <si>
    <t>2179 Dunwin Drive</t>
  </si>
  <si>
    <t>3715 Laird Road</t>
  </si>
  <si>
    <t>3750 Laird Road</t>
  </si>
  <si>
    <t>1590 Matheson Blvd</t>
  </si>
  <si>
    <t>1616 Matheson Blvd</t>
  </si>
  <si>
    <t>1783 Mattawa Ave</t>
  </si>
  <si>
    <t>1535 Meyerside Drive</t>
  </si>
  <si>
    <t>6275 Northam Drive</t>
  </si>
  <si>
    <t>2B</t>
  </si>
  <si>
    <t>980 Pacific Gate</t>
  </si>
  <si>
    <t>2645 Skymark Avenue</t>
  </si>
  <si>
    <t>201A</t>
  </si>
  <si>
    <t>201B</t>
  </si>
  <si>
    <t>111 Topflight Drive</t>
  </si>
  <si>
    <t>Rank / Rental Sensitivity</t>
  </si>
  <si>
    <t>Spring Town</t>
  </si>
  <si>
    <t>151 Brunel Road</t>
  </si>
  <si>
    <t>Gross Dollar Rent / year</t>
  </si>
  <si>
    <t>Total Area of Comparable Property (sf)</t>
  </si>
  <si>
    <t>Comparable Vacancy Rate (%)</t>
  </si>
  <si>
    <t>SUBJECT PROPERTY</t>
  </si>
  <si>
    <t>REDACTED</t>
  </si>
  <si>
    <t>SUBJECT PROPERTY COMPARABLES</t>
  </si>
  <si>
    <t>The subject property is ranked #7 in this example with net rents at $12.95psf.  It would likely win if priced at $11.00psf as it would be ranked #1.  What is NOT calculate here is the PROBABILITY of winning each of position 1,2,4,7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</si>
</sst>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* #,##0.0_-;\-* #,##0.0_-;_-* &quot;-&quot;??_-;_-@_-"/>
    <numFmt numFmtId="167" formatCode="_-* #,##0_-;\-* #,##0_-;_-* &quot;-&quot;??_-;_-@_-"/>
    <numFmt numFmtId="168" formatCode="0.0"/>
    <numFmt numFmtId="169" formatCode="&quot;$&quot;#,##0.00"/>
    <numFmt numFmtId="170" formatCode="[$-F800]dddd\,\ mmmm\ dd\,\ yyyy"/>
    <numFmt numFmtId="171" formatCode="_-&quot;$&quot;* #,##0_-;\-&quot;$&quot;* #,##0_-;_-&quot;$&quot;* &quot;-&quot;??_-;_-@_-"/>
    <numFmt numFmtId="172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166" fontId="0" fillId="0" borderId="0" xfId="1" applyNumberFormat="1" applyFont="1"/>
    <xf numFmtId="0" fontId="0" fillId="0" borderId="0" xfId="0" applyAlignment="1">
      <alignment horizontal="center"/>
    </xf>
    <xf numFmtId="0" fontId="2" fillId="0" borderId="0" xfId="0" applyFont="1"/>
    <xf numFmtId="9" fontId="2" fillId="0" borderId="0" xfId="3" applyFont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164" fontId="0" fillId="0" borderId="0" xfId="2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8" xfId="0" quotePrefix="1" applyBorder="1" applyAlignment="1">
      <alignment horizontal="center"/>
    </xf>
    <xf numFmtId="169" fontId="0" fillId="0" borderId="8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8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9" fontId="0" fillId="0" borderId="8" xfId="3" applyFon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67" fontId="0" fillId="0" borderId="8" xfId="1" applyNumberFormat="1" applyFont="1" applyBorder="1"/>
    <xf numFmtId="164" fontId="0" fillId="0" borderId="8" xfId="2" applyFont="1" applyBorder="1"/>
    <xf numFmtId="168" fontId="0" fillId="0" borderId="8" xfId="0" applyNumberFormat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9" fontId="2" fillId="0" borderId="0" xfId="0" applyNumberFormat="1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9" xfId="0" applyBorder="1" applyAlignment="1">
      <alignment wrapText="1"/>
    </xf>
    <xf numFmtId="9" fontId="0" fillId="0" borderId="9" xfId="3" applyFont="1" applyBorder="1" applyAlignment="1">
      <alignment horizontal="center"/>
    </xf>
    <xf numFmtId="2" fontId="5" fillId="0" borderId="9" xfId="0" applyNumberFormat="1" applyFon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167" fontId="0" fillId="0" borderId="9" xfId="1" applyNumberFormat="1" applyFont="1" applyBorder="1"/>
    <xf numFmtId="168" fontId="0" fillId="0" borderId="9" xfId="0" applyNumberFormat="1" applyBorder="1" applyAlignment="1">
      <alignment horizontal="center"/>
    </xf>
    <xf numFmtId="169" fontId="0" fillId="0" borderId="9" xfId="0" applyNumberFormat="1" applyBorder="1" applyAlignment="1">
      <alignment horizontal="center"/>
    </xf>
    <xf numFmtId="164" fontId="0" fillId="0" borderId="9" xfId="2" applyFont="1" applyBorder="1"/>
    <xf numFmtId="0" fontId="0" fillId="2" borderId="9" xfId="0" applyFill="1" applyBorder="1" applyAlignment="1">
      <alignment horizontal="center"/>
    </xf>
    <xf numFmtId="0" fontId="2" fillId="2" borderId="2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horizontal="center" wrapText="1"/>
    </xf>
    <xf numFmtId="170" fontId="2" fillId="0" borderId="0" xfId="0" applyNumberFormat="1" applyFont="1" applyAlignment="1">
      <alignment horizontal="left"/>
    </xf>
    <xf numFmtId="9" fontId="5" fillId="0" borderId="8" xfId="3" applyFont="1" applyBorder="1" applyAlignment="1">
      <alignment horizontal="center"/>
    </xf>
    <xf numFmtId="16" fontId="0" fillId="0" borderId="8" xfId="0" applyNumberFormat="1" applyBorder="1" applyAlignment="1">
      <alignment horizontal="center"/>
    </xf>
    <xf numFmtId="169" fontId="5" fillId="0" borderId="8" xfId="0" applyNumberFormat="1" applyFont="1" applyBorder="1" applyAlignment="1">
      <alignment horizontal="center"/>
    </xf>
    <xf numFmtId="169" fontId="4" fillId="0" borderId="8" xfId="0" applyNumberFormat="1" applyFont="1" applyBorder="1" applyAlignment="1">
      <alignment horizontal="center"/>
    </xf>
    <xf numFmtId="0" fontId="0" fillId="4" borderId="10" xfId="0" applyFill="1" applyBorder="1" applyAlignment="1">
      <alignment wrapText="1"/>
    </xf>
    <xf numFmtId="0" fontId="6" fillId="4" borderId="6" xfId="0" applyFont="1" applyFill="1" applyBorder="1" applyAlignment="1">
      <alignment wrapText="1"/>
    </xf>
    <xf numFmtId="0" fontId="0" fillId="0" borderId="5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68" fontId="0" fillId="0" borderId="16" xfId="0" applyNumberFormat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171" fontId="0" fillId="0" borderId="9" xfId="2" applyNumberFormat="1" applyFont="1" applyBorder="1"/>
    <xf numFmtId="171" fontId="0" fillId="0" borderId="8" xfId="2" applyNumberFormat="1" applyFont="1" applyBorder="1"/>
    <xf numFmtId="172" fontId="0" fillId="0" borderId="9" xfId="3" applyNumberFormat="1" applyFont="1" applyBorder="1" applyAlignment="1">
      <alignment horizontal="center"/>
    </xf>
    <xf numFmtId="166" fontId="0" fillId="0" borderId="0" xfId="1" applyNumberFormat="1" applyFont="1" applyAlignment="1">
      <alignment horizontal="center"/>
    </xf>
    <xf numFmtId="172" fontId="0" fillId="0" borderId="8" xfId="3" applyNumberFormat="1" applyFont="1" applyBorder="1" applyAlignment="1">
      <alignment horizontal="center"/>
    </xf>
    <xf numFmtId="169" fontId="0" fillId="4" borderId="11" xfId="2" applyNumberFormat="1" applyFont="1" applyFill="1" applyBorder="1" applyAlignment="1">
      <alignment horizontal="center"/>
    </xf>
    <xf numFmtId="169" fontId="0" fillId="4" borderId="12" xfId="2" applyNumberFormat="1" applyFont="1" applyFill="1" applyBorder="1" applyAlignment="1">
      <alignment horizontal="center"/>
    </xf>
    <xf numFmtId="0" fontId="3" fillId="0" borderId="20" xfId="0" applyFont="1" applyBorder="1"/>
    <xf numFmtId="0" fontId="3" fillId="0" borderId="21" xfId="0" applyFont="1" applyBorder="1" applyAlignment="1">
      <alignment horizontal="center"/>
    </xf>
    <xf numFmtId="0" fontId="3" fillId="0" borderId="21" xfId="0" applyFont="1" applyBorder="1" applyAlignment="1">
      <alignment wrapText="1"/>
    </xf>
    <xf numFmtId="9" fontId="3" fillId="0" borderId="21" xfId="3" applyFont="1" applyBorder="1" applyAlignment="1">
      <alignment horizontal="center"/>
    </xf>
    <xf numFmtId="2" fontId="3" fillId="0" borderId="21" xfId="0" applyNumberFormat="1" applyFont="1" applyBorder="1" applyAlignment="1">
      <alignment horizontal="center"/>
    </xf>
    <xf numFmtId="167" fontId="3" fillId="0" borderId="21" xfId="1" applyNumberFormat="1" applyFont="1" applyBorder="1" applyAlignment="1">
      <alignment wrapText="1"/>
    </xf>
    <xf numFmtId="167" fontId="0" fillId="0" borderId="21" xfId="1" applyNumberFormat="1" applyFont="1" applyBorder="1"/>
    <xf numFmtId="172" fontId="0" fillId="0" borderId="21" xfId="3" applyNumberFormat="1" applyFont="1" applyBorder="1" applyAlignment="1">
      <alignment horizontal="center"/>
    </xf>
    <xf numFmtId="0" fontId="3" fillId="0" borderId="21" xfId="0" applyFont="1" applyBorder="1" applyAlignment="1">
      <alignment horizontal="center" wrapText="1"/>
    </xf>
    <xf numFmtId="168" fontId="3" fillId="0" borderId="21" xfId="0" applyNumberFormat="1" applyFont="1" applyBorder="1" applyAlignment="1">
      <alignment horizontal="center" wrapText="1"/>
    </xf>
    <xf numFmtId="164" fontId="3" fillId="2" borderId="21" xfId="2" applyFont="1" applyFill="1" applyBorder="1" applyAlignment="1">
      <alignment wrapText="1"/>
    </xf>
    <xf numFmtId="164" fontId="3" fillId="0" borderId="21" xfId="2" applyFont="1" applyBorder="1" applyAlignment="1">
      <alignment wrapText="1"/>
    </xf>
    <xf numFmtId="164" fontId="3" fillId="0" borderId="21" xfId="2" applyFont="1" applyBorder="1"/>
    <xf numFmtId="171" fontId="3" fillId="0" borderId="21" xfId="2" applyNumberFormat="1" applyFont="1" applyBorder="1"/>
    <xf numFmtId="168" fontId="3" fillId="0" borderId="21" xfId="0" applyNumberFormat="1" applyFont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507EC-AF9E-4409-AE2C-E440ECA8C68F}">
  <sheetPr>
    <pageSetUpPr fitToPage="1"/>
  </sheetPr>
  <dimension ref="A1:AH134"/>
  <sheetViews>
    <sheetView tabSelected="1" workbookViewId="0">
      <pane xSplit="2" ySplit="5" topLeftCell="C117" activePane="bottomRight" state="frozen"/>
      <selection pane="topRight" activeCell="C1" sqref="C1"/>
      <selection pane="bottomLeft" activeCell="A5" sqref="A5"/>
      <selection pane="bottomRight" activeCell="C135" sqref="C135"/>
    </sheetView>
  </sheetViews>
  <sheetFormatPr baseColWidth="10" defaultColWidth="8.83203125" defaultRowHeight="15" outlineLevelCol="1" x14ac:dyDescent="0.2"/>
  <cols>
    <col min="1" max="1" width="22.5" customWidth="1"/>
    <col min="2" max="2" width="8" style="2" customWidth="1"/>
    <col min="3" max="3" width="26" style="16" customWidth="1"/>
    <col min="4" max="7" width="11.1640625" style="2" customWidth="1"/>
    <col min="8" max="8" width="10.83203125" bestFit="1" customWidth="1"/>
    <col min="9" max="10" width="10.83203125" customWidth="1"/>
    <col min="11" max="11" width="10.83203125" style="2" customWidth="1"/>
    <col min="12" max="13" width="9" style="2"/>
    <col min="17" max="17" width="13.33203125" customWidth="1"/>
    <col min="18" max="18" width="3" customWidth="1"/>
    <col min="19" max="27" width="9" hidden="1" customWidth="1" outlineLevel="1"/>
    <col min="28" max="28" width="11.33203125" style="2" hidden="1" customWidth="1" outlineLevel="1"/>
    <col min="29" max="29" width="9.1640625" collapsed="1"/>
    <col min="30" max="30" width="2.6640625" customWidth="1"/>
    <col min="32" max="32" width="11" customWidth="1"/>
    <col min="33" max="33" width="23.1640625" customWidth="1"/>
    <col min="34" max="34" width="9.1640625" style="2"/>
  </cols>
  <sheetData>
    <row r="1" spans="1:34" x14ac:dyDescent="0.2">
      <c r="A1" s="3" t="s">
        <v>0</v>
      </c>
      <c r="B1" s="7"/>
      <c r="C1" s="14"/>
    </row>
    <row r="2" spans="1:34" x14ac:dyDescent="0.2">
      <c r="A2" s="3" t="s">
        <v>180</v>
      </c>
      <c r="B2" s="7"/>
      <c r="C2" s="14"/>
      <c r="S2" s="86" t="s">
        <v>20</v>
      </c>
      <c r="T2" s="86"/>
      <c r="U2" s="86"/>
      <c r="V2" s="86"/>
      <c r="W2" s="86"/>
      <c r="X2" s="86"/>
      <c r="Y2" s="86"/>
      <c r="Z2" s="86"/>
      <c r="AA2" s="86"/>
      <c r="AB2" s="86"/>
    </row>
    <row r="3" spans="1:34" x14ac:dyDescent="0.2">
      <c r="A3" s="47">
        <v>43958</v>
      </c>
      <c r="B3" s="7"/>
      <c r="C3" s="14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34" ht="16" thickBot="1" x14ac:dyDescent="0.25">
      <c r="A4" s="3"/>
      <c r="B4" s="7"/>
      <c r="C4" s="14"/>
      <c r="S4" s="4">
        <v>0.08</v>
      </c>
      <c r="T4" s="4">
        <v>0.1</v>
      </c>
      <c r="U4" s="4">
        <v>0.1</v>
      </c>
      <c r="V4" s="4">
        <v>0.15</v>
      </c>
      <c r="W4" s="4">
        <v>0.1</v>
      </c>
      <c r="X4" s="4">
        <v>0.16</v>
      </c>
      <c r="Y4" s="4">
        <v>0.14000000000000001</v>
      </c>
      <c r="Z4" s="4">
        <v>7.0000000000000007E-2</v>
      </c>
      <c r="AA4" s="4">
        <v>0.1</v>
      </c>
      <c r="AB4" s="27">
        <f>SUM(S4:AA4)</f>
        <v>1.0000000000000002</v>
      </c>
    </row>
    <row r="5" spans="1:34" ht="81" thickBot="1" x14ac:dyDescent="0.25">
      <c r="A5" s="40" t="s">
        <v>1</v>
      </c>
      <c r="B5" s="41" t="s">
        <v>25</v>
      </c>
      <c r="C5" s="42" t="s">
        <v>102</v>
      </c>
      <c r="D5" s="41" t="s">
        <v>17</v>
      </c>
      <c r="E5" s="43" t="s">
        <v>23</v>
      </c>
      <c r="F5" s="43" t="s">
        <v>24</v>
      </c>
      <c r="G5" s="43" t="s">
        <v>18</v>
      </c>
      <c r="H5" s="42" t="s">
        <v>6</v>
      </c>
      <c r="I5" s="42" t="s">
        <v>10</v>
      </c>
      <c r="J5" s="42" t="s">
        <v>176</v>
      </c>
      <c r="K5" s="43" t="s">
        <v>177</v>
      </c>
      <c r="L5" s="43" t="s">
        <v>21</v>
      </c>
      <c r="M5" s="43" t="s">
        <v>2</v>
      </c>
      <c r="N5" s="42" t="s">
        <v>3</v>
      </c>
      <c r="O5" s="42" t="s">
        <v>4</v>
      </c>
      <c r="P5" s="42" t="s">
        <v>5</v>
      </c>
      <c r="Q5" s="43" t="s">
        <v>175</v>
      </c>
      <c r="R5" s="43"/>
      <c r="S5" s="43" t="s">
        <v>17</v>
      </c>
      <c r="T5" s="43" t="s">
        <v>23</v>
      </c>
      <c r="U5" s="43" t="s">
        <v>24</v>
      </c>
      <c r="V5" s="43" t="s">
        <v>19</v>
      </c>
      <c r="W5" s="43" t="s">
        <v>12</v>
      </c>
      <c r="X5" s="43" t="s">
        <v>7</v>
      </c>
      <c r="Y5" s="43" t="s">
        <v>8</v>
      </c>
      <c r="Z5" s="43" t="s">
        <v>9</v>
      </c>
      <c r="AA5" s="43" t="s">
        <v>11</v>
      </c>
      <c r="AB5" s="43" t="s">
        <v>16</v>
      </c>
      <c r="AC5" s="44" t="s">
        <v>13</v>
      </c>
      <c r="AD5" s="54"/>
      <c r="AE5" s="5" t="s">
        <v>14</v>
      </c>
      <c r="AF5" s="6" t="s">
        <v>22</v>
      </c>
      <c r="AG5" s="45" t="s">
        <v>15</v>
      </c>
      <c r="AH5" s="46" t="s">
        <v>148</v>
      </c>
    </row>
    <row r="6" spans="1:34" ht="16" x14ac:dyDescent="0.2">
      <c r="A6" s="29" t="s">
        <v>26</v>
      </c>
      <c r="B6" s="30">
        <v>7</v>
      </c>
      <c r="C6" s="31" t="s">
        <v>103</v>
      </c>
      <c r="D6" s="30">
        <v>1990</v>
      </c>
      <c r="E6" s="30">
        <v>16</v>
      </c>
      <c r="F6" s="32">
        <v>0.15</v>
      </c>
      <c r="G6" s="33">
        <v>1.5</v>
      </c>
      <c r="H6" s="34">
        <v>3224</v>
      </c>
      <c r="I6" s="35">
        <f t="shared" ref="I6:I37" si="0">ABS(H6-H$128)</f>
        <v>1024</v>
      </c>
      <c r="J6" s="35">
        <v>31247</v>
      </c>
      <c r="K6" s="65">
        <f>H6/J6</f>
        <v>0.10317790507888758</v>
      </c>
      <c r="L6" s="30">
        <v>2</v>
      </c>
      <c r="M6" s="36">
        <v>13.4</v>
      </c>
      <c r="N6" s="37">
        <v>8.9499999999999993</v>
      </c>
      <c r="O6" s="37">
        <v>6.94</v>
      </c>
      <c r="P6" s="38">
        <f t="shared" ref="P6:P37" si="1">SUM(N6:O6)</f>
        <v>15.89</v>
      </c>
      <c r="Q6" s="63">
        <f>H6*P6</f>
        <v>51229.36</v>
      </c>
      <c r="R6" s="63"/>
      <c r="S6" s="30">
        <f t="shared" ref="S6:S37" si="2">RANK(D6,D$6:D$128,0)</f>
        <v>20</v>
      </c>
      <c r="T6" s="30">
        <f t="shared" ref="T6:T37" si="3">RANK(E6,E$6:E$128,0)</f>
        <v>44</v>
      </c>
      <c r="U6" s="30">
        <f t="shared" ref="U6:U37" si="4">RANK(F6,F$6:F$128,0)</f>
        <v>96</v>
      </c>
      <c r="V6" s="30">
        <f t="shared" ref="V6:V37" si="5">RANK(G6,G$6:G$128,0)</f>
        <v>47</v>
      </c>
      <c r="W6" s="30">
        <f t="shared" ref="W6:W37" si="6">RANK(M6,M$6:M$128,1)</f>
        <v>99</v>
      </c>
      <c r="X6" s="30">
        <f t="shared" ref="X6:X37" si="7">RANK(N6,N$6:N$128,1)</f>
        <v>5</v>
      </c>
      <c r="Y6" s="30">
        <f t="shared" ref="Y6:Y37" si="8">RANK(O6,O$6:O$128,1)</f>
        <v>117</v>
      </c>
      <c r="Z6" s="30">
        <f t="shared" ref="Z6:Z37" si="9">RANK(L6,L$6:L$128,1)</f>
        <v>15</v>
      </c>
      <c r="AA6" s="30">
        <f t="shared" ref="AA6:AA37" si="10">RANK(I6,I$6:I$128,1)</f>
        <v>84</v>
      </c>
      <c r="AB6" s="36">
        <f t="shared" ref="AB6:AB37" si="11">SUMPRODUCT(S6:AA6,S$4:AA$4)</f>
        <v>59.18</v>
      </c>
      <c r="AC6" s="39">
        <f t="shared" ref="AC6:AC37" si="12">RANK(AB6,AB$6:AB$128,1)</f>
        <v>69</v>
      </c>
      <c r="AE6" s="61">
        <v>1</v>
      </c>
      <c r="AF6" s="36">
        <f t="shared" ref="AF6:AF37" si="13">_xlfn.XLOOKUP(AE6,AC$6:AC$128,AB$6:AB$128)</f>
        <v>34.180000000000007</v>
      </c>
      <c r="AG6" s="29" t="str">
        <f t="shared" ref="AG6:AG37" si="14">_xlfn.XLOOKUP($AE6,$AC$6:$AC$128,A$6:A$128)</f>
        <v>5484 Tomken Rd</v>
      </c>
      <c r="AH6" s="62">
        <f t="shared" ref="AH6:AH37" si="15">_xlfn.XLOOKUP($AE6,$AC$6:$AC$128,B$6:B$128)</f>
        <v>24</v>
      </c>
    </row>
    <row r="7" spans="1:34" ht="16" x14ac:dyDescent="0.2">
      <c r="A7" s="9" t="s">
        <v>27</v>
      </c>
      <c r="B7" s="10">
        <v>19</v>
      </c>
      <c r="C7" s="15" t="s">
        <v>104</v>
      </c>
      <c r="D7" s="10">
        <v>1990</v>
      </c>
      <c r="E7" s="10">
        <v>18</v>
      </c>
      <c r="F7" s="18">
        <v>0.4</v>
      </c>
      <c r="G7" s="19">
        <v>1.17</v>
      </c>
      <c r="H7" s="13">
        <v>1618</v>
      </c>
      <c r="I7" s="20">
        <f t="shared" si="0"/>
        <v>582</v>
      </c>
      <c r="J7" s="20">
        <v>17139</v>
      </c>
      <c r="K7" s="67">
        <f t="shared" ref="K7:K70" si="16">H7/J7</f>
        <v>9.4404574362564914E-2</v>
      </c>
      <c r="L7" s="10">
        <v>2</v>
      </c>
      <c r="M7" s="22">
        <v>6.8</v>
      </c>
      <c r="N7" s="12">
        <v>8.9499999999999993</v>
      </c>
      <c r="O7" s="12">
        <v>6.1</v>
      </c>
      <c r="P7" s="21">
        <f t="shared" si="1"/>
        <v>15.049999999999999</v>
      </c>
      <c r="Q7" s="64">
        <f t="shared" ref="Q7:Q70" si="17">H7*P7</f>
        <v>24350.899999999998</v>
      </c>
      <c r="R7" s="64"/>
      <c r="S7" s="10">
        <f t="shared" si="2"/>
        <v>20</v>
      </c>
      <c r="T7" s="10">
        <f t="shared" si="3"/>
        <v>17</v>
      </c>
      <c r="U7" s="10">
        <f t="shared" si="4"/>
        <v>19</v>
      </c>
      <c r="V7" s="10">
        <f t="shared" si="5"/>
        <v>94</v>
      </c>
      <c r="W7" s="10">
        <f t="shared" si="6"/>
        <v>47</v>
      </c>
      <c r="X7" s="10">
        <f t="shared" si="7"/>
        <v>5</v>
      </c>
      <c r="Y7" s="10">
        <f t="shared" si="8"/>
        <v>90</v>
      </c>
      <c r="Z7" s="10">
        <f t="shared" si="9"/>
        <v>15</v>
      </c>
      <c r="AA7" s="10">
        <f t="shared" si="10"/>
        <v>60</v>
      </c>
      <c r="AB7" s="22">
        <f t="shared" si="11"/>
        <v>44.45</v>
      </c>
      <c r="AC7" s="23">
        <f t="shared" si="12"/>
        <v>19</v>
      </c>
      <c r="AE7" s="55">
        <f>AE6+1</f>
        <v>2</v>
      </c>
      <c r="AF7" s="22">
        <f t="shared" si="13"/>
        <v>36.090000000000003</v>
      </c>
      <c r="AG7" s="9" t="str">
        <f t="shared" si="14"/>
        <v>2179 Dunwin Drive</v>
      </c>
      <c r="AH7" s="56">
        <f t="shared" si="15"/>
        <v>3</v>
      </c>
    </row>
    <row r="8" spans="1:34" ht="16" x14ac:dyDescent="0.2">
      <c r="A8" s="9" t="s">
        <v>28</v>
      </c>
      <c r="B8" s="10">
        <v>6</v>
      </c>
      <c r="C8" s="15" t="s">
        <v>173</v>
      </c>
      <c r="D8" s="10">
        <v>1981</v>
      </c>
      <c r="E8" s="10">
        <v>16</v>
      </c>
      <c r="F8" s="18">
        <f>580/2900</f>
        <v>0.2</v>
      </c>
      <c r="G8" s="19">
        <v>3.05</v>
      </c>
      <c r="H8" s="13">
        <v>2900</v>
      </c>
      <c r="I8" s="20">
        <f t="shared" si="0"/>
        <v>700</v>
      </c>
      <c r="J8" s="20">
        <v>21220</v>
      </c>
      <c r="K8" s="67">
        <f t="shared" si="16"/>
        <v>0.13666352497643733</v>
      </c>
      <c r="L8" s="10">
        <v>2</v>
      </c>
      <c r="M8" s="22">
        <v>6.3</v>
      </c>
      <c r="N8" s="12">
        <v>9</v>
      </c>
      <c r="O8" s="12">
        <v>5.25</v>
      </c>
      <c r="P8" s="21">
        <f t="shared" si="1"/>
        <v>14.25</v>
      </c>
      <c r="Q8" s="64">
        <f t="shared" si="17"/>
        <v>41325</v>
      </c>
      <c r="R8" s="64"/>
      <c r="S8" s="10">
        <f t="shared" si="2"/>
        <v>54</v>
      </c>
      <c r="T8" s="10">
        <f t="shared" si="3"/>
        <v>44</v>
      </c>
      <c r="U8" s="10">
        <f t="shared" si="4"/>
        <v>73</v>
      </c>
      <c r="V8" s="10">
        <f t="shared" si="5"/>
        <v>3</v>
      </c>
      <c r="W8" s="10">
        <f t="shared" si="6"/>
        <v>44</v>
      </c>
      <c r="X8" s="10">
        <f t="shared" si="7"/>
        <v>7</v>
      </c>
      <c r="Y8" s="10">
        <f t="shared" si="8"/>
        <v>59</v>
      </c>
      <c r="Z8" s="10">
        <f t="shared" si="9"/>
        <v>15</v>
      </c>
      <c r="AA8" s="10">
        <f t="shared" si="10"/>
        <v>68</v>
      </c>
      <c r="AB8" s="22">
        <f t="shared" si="11"/>
        <v>38.100000000000009</v>
      </c>
      <c r="AC8" s="23">
        <f t="shared" si="12"/>
        <v>6</v>
      </c>
      <c r="AE8" s="55">
        <f t="shared" ref="AE8:AE71" si="18">AE7+1</f>
        <v>3</v>
      </c>
      <c r="AF8" s="22">
        <f t="shared" si="13"/>
        <v>36.309999999999995</v>
      </c>
      <c r="AG8" s="9" t="str">
        <f t="shared" si="14"/>
        <v>2500 Meadowpine Blvd</v>
      </c>
      <c r="AH8" s="56">
        <f t="shared" si="15"/>
        <v>6</v>
      </c>
    </row>
    <row r="9" spans="1:34" ht="16" x14ac:dyDescent="0.2">
      <c r="A9" s="9" t="s">
        <v>29</v>
      </c>
      <c r="B9" s="10">
        <v>8</v>
      </c>
      <c r="C9" s="15" t="s">
        <v>105</v>
      </c>
      <c r="D9" s="10">
        <v>1981</v>
      </c>
      <c r="E9" s="10">
        <v>18</v>
      </c>
      <c r="F9" s="18">
        <f>2000/4776</f>
        <v>0.41876046901172531</v>
      </c>
      <c r="G9" s="19">
        <v>0.48</v>
      </c>
      <c r="H9" s="13">
        <v>4776</v>
      </c>
      <c r="I9" s="20">
        <f t="shared" si="0"/>
        <v>2576</v>
      </c>
      <c r="J9" s="20">
        <v>51743</v>
      </c>
      <c r="K9" s="67">
        <f t="shared" si="16"/>
        <v>9.2302340413195988E-2</v>
      </c>
      <c r="L9" s="10">
        <v>2</v>
      </c>
      <c r="M9" s="22">
        <v>2</v>
      </c>
      <c r="N9" s="12">
        <v>9.25</v>
      </c>
      <c r="O9" s="12">
        <v>4.17</v>
      </c>
      <c r="P9" s="21">
        <f t="shared" si="1"/>
        <v>13.42</v>
      </c>
      <c r="Q9" s="64">
        <f t="shared" si="17"/>
        <v>64093.919999999998</v>
      </c>
      <c r="R9" s="64"/>
      <c r="S9" s="10">
        <f t="shared" si="2"/>
        <v>54</v>
      </c>
      <c r="T9" s="10">
        <f t="shared" si="3"/>
        <v>17</v>
      </c>
      <c r="U9" s="10">
        <f t="shared" si="4"/>
        <v>17</v>
      </c>
      <c r="V9" s="10">
        <f t="shared" si="5"/>
        <v>121</v>
      </c>
      <c r="W9" s="10">
        <f t="shared" si="6"/>
        <v>5</v>
      </c>
      <c r="X9" s="10">
        <f t="shared" si="7"/>
        <v>8</v>
      </c>
      <c r="Y9" s="10">
        <f t="shared" si="8"/>
        <v>11</v>
      </c>
      <c r="Z9" s="10">
        <f t="shared" si="9"/>
        <v>15</v>
      </c>
      <c r="AA9" s="10">
        <f t="shared" si="10"/>
        <v>121</v>
      </c>
      <c r="AB9" s="22">
        <f t="shared" si="11"/>
        <v>42.34</v>
      </c>
      <c r="AC9" s="23">
        <f t="shared" si="12"/>
        <v>11</v>
      </c>
      <c r="AE9" s="55">
        <f t="shared" si="18"/>
        <v>4</v>
      </c>
      <c r="AF9" s="22">
        <f t="shared" si="13"/>
        <v>37.589999999999996</v>
      </c>
      <c r="AG9" s="9" t="str">
        <f t="shared" si="14"/>
        <v>5315 Tomken Rd</v>
      </c>
      <c r="AH9" s="56">
        <f t="shared" si="15"/>
        <v>5</v>
      </c>
    </row>
    <row r="10" spans="1:34" ht="16" x14ac:dyDescent="0.2">
      <c r="A10" s="9" t="s">
        <v>30</v>
      </c>
      <c r="B10" s="10">
        <v>210</v>
      </c>
      <c r="C10" s="15" t="s">
        <v>106</v>
      </c>
      <c r="D10" s="10">
        <v>1990</v>
      </c>
      <c r="E10" s="10">
        <v>18.5</v>
      </c>
      <c r="F10" s="18">
        <v>0</v>
      </c>
      <c r="G10" s="19">
        <v>0.95</v>
      </c>
      <c r="H10" s="13">
        <v>3150</v>
      </c>
      <c r="I10" s="20">
        <f t="shared" si="0"/>
        <v>950</v>
      </c>
      <c r="J10" s="20">
        <v>36584</v>
      </c>
      <c r="K10" s="67">
        <f t="shared" si="16"/>
        <v>8.6103214520008742E-2</v>
      </c>
      <c r="L10" s="10">
        <v>2</v>
      </c>
      <c r="M10" s="22">
        <v>17.100000000000001</v>
      </c>
      <c r="N10" s="12">
        <v>9.25</v>
      </c>
      <c r="O10" s="12">
        <v>7.17</v>
      </c>
      <c r="P10" s="21">
        <f t="shared" si="1"/>
        <v>16.420000000000002</v>
      </c>
      <c r="Q10" s="64">
        <f t="shared" si="17"/>
        <v>51723.000000000007</v>
      </c>
      <c r="R10" s="64"/>
      <c r="S10" s="10">
        <f t="shared" si="2"/>
        <v>20</v>
      </c>
      <c r="T10" s="10">
        <f t="shared" si="3"/>
        <v>15</v>
      </c>
      <c r="U10" s="10">
        <f t="shared" si="4"/>
        <v>122</v>
      </c>
      <c r="V10" s="10">
        <f t="shared" si="5"/>
        <v>102</v>
      </c>
      <c r="W10" s="10">
        <f t="shared" si="6"/>
        <v>114</v>
      </c>
      <c r="X10" s="10">
        <f t="shared" si="7"/>
        <v>8</v>
      </c>
      <c r="Y10" s="10">
        <f t="shared" si="8"/>
        <v>118</v>
      </c>
      <c r="Z10" s="10">
        <f t="shared" si="9"/>
        <v>15</v>
      </c>
      <c r="AA10" s="10">
        <f t="shared" si="10"/>
        <v>77</v>
      </c>
      <c r="AB10" s="22">
        <f t="shared" si="11"/>
        <v>68.55</v>
      </c>
      <c r="AC10" s="23">
        <f t="shared" si="12"/>
        <v>102</v>
      </c>
      <c r="AE10" s="55">
        <f t="shared" si="18"/>
        <v>5</v>
      </c>
      <c r="AF10" s="22">
        <f t="shared" si="13"/>
        <v>37.790000000000006</v>
      </c>
      <c r="AG10" s="9" t="str">
        <f t="shared" si="14"/>
        <v>980 Pacific Gate</v>
      </c>
      <c r="AH10" s="56">
        <f t="shared" si="15"/>
        <v>21</v>
      </c>
    </row>
    <row r="11" spans="1:34" ht="32" x14ac:dyDescent="0.2">
      <c r="A11" s="9" t="s">
        <v>31</v>
      </c>
      <c r="B11" s="10">
        <v>15</v>
      </c>
      <c r="C11" s="15" t="s">
        <v>107</v>
      </c>
      <c r="D11" s="10">
        <v>1977</v>
      </c>
      <c r="E11" s="10">
        <v>14</v>
      </c>
      <c r="F11" s="18">
        <v>0.2</v>
      </c>
      <c r="G11" s="19">
        <v>1.3</v>
      </c>
      <c r="H11" s="13">
        <v>4455</v>
      </c>
      <c r="I11" s="20">
        <f t="shared" si="0"/>
        <v>2255</v>
      </c>
      <c r="J11" s="20">
        <v>34600</v>
      </c>
      <c r="K11" s="67">
        <f t="shared" si="16"/>
        <v>0.12875722543352602</v>
      </c>
      <c r="L11" s="10">
        <v>3</v>
      </c>
      <c r="M11" s="22">
        <v>8</v>
      </c>
      <c r="N11" s="12">
        <v>9.5</v>
      </c>
      <c r="O11" s="12">
        <v>5.77</v>
      </c>
      <c r="P11" s="21">
        <f t="shared" si="1"/>
        <v>15.27</v>
      </c>
      <c r="Q11" s="64">
        <f t="shared" si="17"/>
        <v>68027.849999999991</v>
      </c>
      <c r="R11" s="64"/>
      <c r="S11" s="10">
        <f t="shared" si="2"/>
        <v>90</v>
      </c>
      <c r="T11" s="10">
        <f t="shared" si="3"/>
        <v>68</v>
      </c>
      <c r="U11" s="10">
        <f t="shared" si="4"/>
        <v>73</v>
      </c>
      <c r="V11" s="10">
        <f t="shared" si="5"/>
        <v>75</v>
      </c>
      <c r="W11" s="10">
        <f t="shared" si="6"/>
        <v>70</v>
      </c>
      <c r="X11" s="10">
        <f t="shared" si="7"/>
        <v>10</v>
      </c>
      <c r="Y11" s="10">
        <f t="shared" si="8"/>
        <v>83</v>
      </c>
      <c r="Z11" s="10">
        <f t="shared" si="9"/>
        <v>72</v>
      </c>
      <c r="AA11" s="10">
        <f t="shared" si="10"/>
        <v>114</v>
      </c>
      <c r="AB11" s="22">
        <f t="shared" si="11"/>
        <v>69.209999999999994</v>
      </c>
      <c r="AC11" s="23">
        <f t="shared" si="12"/>
        <v>108</v>
      </c>
      <c r="AE11" s="55">
        <f t="shared" si="18"/>
        <v>6</v>
      </c>
      <c r="AF11" s="22">
        <f t="shared" si="13"/>
        <v>38.100000000000009</v>
      </c>
      <c r="AG11" s="9" t="str">
        <f t="shared" si="14"/>
        <v>1575 Trinity Dr</v>
      </c>
      <c r="AH11" s="56">
        <f t="shared" si="15"/>
        <v>6</v>
      </c>
    </row>
    <row r="12" spans="1:34" ht="32" x14ac:dyDescent="0.2">
      <c r="A12" s="9" t="s">
        <v>32</v>
      </c>
      <c r="B12" s="10">
        <v>10</v>
      </c>
      <c r="C12" s="15" t="s">
        <v>108</v>
      </c>
      <c r="D12" s="10">
        <v>1987</v>
      </c>
      <c r="E12" s="10">
        <v>13</v>
      </c>
      <c r="F12" s="18">
        <v>0.5</v>
      </c>
      <c r="G12" s="19">
        <v>1.78</v>
      </c>
      <c r="H12" s="13">
        <v>1507</v>
      </c>
      <c r="I12" s="20">
        <f t="shared" si="0"/>
        <v>693</v>
      </c>
      <c r="J12" s="20">
        <v>44979</v>
      </c>
      <c r="K12" s="67">
        <f t="shared" si="16"/>
        <v>3.3504524333577895E-2</v>
      </c>
      <c r="L12" s="10">
        <v>2</v>
      </c>
      <c r="M12" s="22">
        <v>2.7</v>
      </c>
      <c r="N12" s="12">
        <v>9.5</v>
      </c>
      <c r="O12" s="12">
        <v>7.45</v>
      </c>
      <c r="P12" s="21">
        <f t="shared" si="1"/>
        <v>16.95</v>
      </c>
      <c r="Q12" s="64">
        <f t="shared" si="17"/>
        <v>25543.649999999998</v>
      </c>
      <c r="R12" s="64"/>
      <c r="S12" s="10">
        <f t="shared" si="2"/>
        <v>37</v>
      </c>
      <c r="T12" s="10">
        <f t="shared" si="3"/>
        <v>105</v>
      </c>
      <c r="U12" s="10">
        <f t="shared" si="4"/>
        <v>12</v>
      </c>
      <c r="V12" s="10">
        <f t="shared" si="5"/>
        <v>30</v>
      </c>
      <c r="W12" s="10">
        <f t="shared" si="6"/>
        <v>9</v>
      </c>
      <c r="X12" s="10">
        <f t="shared" si="7"/>
        <v>10</v>
      </c>
      <c r="Y12" s="10">
        <f t="shared" si="8"/>
        <v>120</v>
      </c>
      <c r="Z12" s="10">
        <f t="shared" si="9"/>
        <v>15</v>
      </c>
      <c r="AA12" s="10">
        <f t="shared" si="10"/>
        <v>66</v>
      </c>
      <c r="AB12" s="22">
        <f t="shared" si="11"/>
        <v>46.11</v>
      </c>
      <c r="AC12" s="23">
        <f t="shared" si="12"/>
        <v>28</v>
      </c>
      <c r="AE12" s="55">
        <f t="shared" si="18"/>
        <v>7</v>
      </c>
      <c r="AF12" s="22">
        <f t="shared" si="13"/>
        <v>38.61</v>
      </c>
      <c r="AG12" s="9" t="str">
        <f t="shared" si="14"/>
        <v>SUBJECT PROPERTY</v>
      </c>
      <c r="AH12" s="56">
        <f t="shared" si="15"/>
        <v>0</v>
      </c>
    </row>
    <row r="13" spans="1:34" ht="32" x14ac:dyDescent="0.2">
      <c r="A13" s="9" t="s">
        <v>33</v>
      </c>
      <c r="B13" s="10">
        <v>4</v>
      </c>
      <c r="C13" s="15" t="s">
        <v>109</v>
      </c>
      <c r="D13" s="10">
        <v>1985</v>
      </c>
      <c r="E13" s="10">
        <v>14</v>
      </c>
      <c r="F13" s="18">
        <v>0.1</v>
      </c>
      <c r="G13" s="19">
        <v>1.27</v>
      </c>
      <c r="H13" s="13">
        <v>3000</v>
      </c>
      <c r="I13" s="20">
        <f t="shared" si="0"/>
        <v>800</v>
      </c>
      <c r="J13" s="20">
        <v>29645</v>
      </c>
      <c r="K13" s="67">
        <f t="shared" si="16"/>
        <v>0.1011975037949064</v>
      </c>
      <c r="L13" s="10">
        <v>2</v>
      </c>
      <c r="M13" s="22">
        <v>7.8</v>
      </c>
      <c r="N13" s="12">
        <v>9.5</v>
      </c>
      <c r="O13" s="12">
        <v>4.5</v>
      </c>
      <c r="P13" s="21">
        <f t="shared" si="1"/>
        <v>14</v>
      </c>
      <c r="Q13" s="64">
        <f t="shared" si="17"/>
        <v>42000</v>
      </c>
      <c r="R13" s="64"/>
      <c r="S13" s="10">
        <f t="shared" si="2"/>
        <v>41</v>
      </c>
      <c r="T13" s="10">
        <f t="shared" si="3"/>
        <v>68</v>
      </c>
      <c r="U13" s="10">
        <f t="shared" si="4"/>
        <v>118</v>
      </c>
      <c r="V13" s="10">
        <f t="shared" si="5"/>
        <v>78</v>
      </c>
      <c r="W13" s="10">
        <f t="shared" si="6"/>
        <v>68</v>
      </c>
      <c r="X13" s="10">
        <f t="shared" si="7"/>
        <v>10</v>
      </c>
      <c r="Y13" s="10">
        <f t="shared" si="8"/>
        <v>18</v>
      </c>
      <c r="Z13" s="10">
        <f t="shared" si="9"/>
        <v>15</v>
      </c>
      <c r="AA13" s="10">
        <f t="shared" si="10"/>
        <v>72</v>
      </c>
      <c r="AB13" s="22">
        <f t="shared" si="11"/>
        <v>52.75</v>
      </c>
      <c r="AC13" s="23">
        <f t="shared" si="12"/>
        <v>45</v>
      </c>
      <c r="AE13" s="55">
        <f t="shared" si="18"/>
        <v>8</v>
      </c>
      <c r="AF13" s="22">
        <f t="shared" si="13"/>
        <v>38.99</v>
      </c>
      <c r="AG13" s="9" t="str">
        <f t="shared" si="14"/>
        <v>5100 Maingate Dr</v>
      </c>
      <c r="AH13" s="56" t="str">
        <f t="shared" si="15"/>
        <v>1-2</v>
      </c>
    </row>
    <row r="14" spans="1:34" ht="16" x14ac:dyDescent="0.2">
      <c r="A14" s="9" t="s">
        <v>34</v>
      </c>
      <c r="B14" s="11" t="s">
        <v>35</v>
      </c>
      <c r="C14" s="15" t="s">
        <v>110</v>
      </c>
      <c r="D14" s="26">
        <v>1980</v>
      </c>
      <c r="E14" s="10">
        <v>10.6</v>
      </c>
      <c r="F14" s="18">
        <v>1</v>
      </c>
      <c r="G14" s="19">
        <v>1.78</v>
      </c>
      <c r="H14" s="13">
        <v>4375</v>
      </c>
      <c r="I14" s="20">
        <f t="shared" si="0"/>
        <v>2175</v>
      </c>
      <c r="J14" s="20">
        <v>30293</v>
      </c>
      <c r="K14" s="67">
        <f t="shared" si="16"/>
        <v>0.14442280394810683</v>
      </c>
      <c r="L14" s="10">
        <v>2</v>
      </c>
      <c r="M14" s="22">
        <v>3.2</v>
      </c>
      <c r="N14" s="12">
        <v>9.75</v>
      </c>
      <c r="O14" s="12">
        <v>4.25</v>
      </c>
      <c r="P14" s="21">
        <f t="shared" si="1"/>
        <v>14</v>
      </c>
      <c r="Q14" s="64">
        <f t="shared" si="17"/>
        <v>61250</v>
      </c>
      <c r="R14" s="64"/>
      <c r="S14" s="10">
        <f t="shared" si="2"/>
        <v>58</v>
      </c>
      <c r="T14" s="10">
        <f t="shared" si="3"/>
        <v>122</v>
      </c>
      <c r="U14" s="10">
        <f t="shared" si="4"/>
        <v>1</v>
      </c>
      <c r="V14" s="10">
        <f t="shared" si="5"/>
        <v>30</v>
      </c>
      <c r="W14" s="10">
        <f t="shared" si="6"/>
        <v>14</v>
      </c>
      <c r="X14" s="10">
        <f t="shared" si="7"/>
        <v>13</v>
      </c>
      <c r="Y14" s="10">
        <f t="shared" si="8"/>
        <v>13</v>
      </c>
      <c r="Z14" s="10">
        <f t="shared" si="9"/>
        <v>15</v>
      </c>
      <c r="AA14" s="10">
        <f t="shared" si="10"/>
        <v>112</v>
      </c>
      <c r="AB14" s="22">
        <f t="shared" si="11"/>
        <v>38.99</v>
      </c>
      <c r="AC14" s="23">
        <f t="shared" si="12"/>
        <v>8</v>
      </c>
      <c r="AE14" s="55">
        <f t="shared" si="18"/>
        <v>9</v>
      </c>
      <c r="AF14" s="22">
        <f t="shared" si="13"/>
        <v>40.33</v>
      </c>
      <c r="AG14" s="9" t="str">
        <f t="shared" si="14"/>
        <v>1295 Eglinton Ave E</v>
      </c>
      <c r="AH14" s="56">
        <f t="shared" si="15"/>
        <v>28</v>
      </c>
    </row>
    <row r="15" spans="1:34" ht="16" x14ac:dyDescent="0.2">
      <c r="A15" s="9" t="s">
        <v>36</v>
      </c>
      <c r="B15" s="10">
        <v>6</v>
      </c>
      <c r="C15" s="15" t="s">
        <v>111</v>
      </c>
      <c r="D15" s="10">
        <v>1979</v>
      </c>
      <c r="E15" s="10">
        <v>18</v>
      </c>
      <c r="F15" s="18">
        <f>476/4540</f>
        <v>0.10484581497797357</v>
      </c>
      <c r="G15" s="19">
        <v>0.8</v>
      </c>
      <c r="H15" s="13">
        <v>4540</v>
      </c>
      <c r="I15" s="20">
        <f t="shared" si="0"/>
        <v>2340</v>
      </c>
      <c r="J15" s="20">
        <v>100093</v>
      </c>
      <c r="K15" s="67">
        <f t="shared" si="16"/>
        <v>4.5357817229976123E-2</v>
      </c>
      <c r="L15" s="10">
        <v>3</v>
      </c>
      <c r="M15" s="22">
        <v>6.9</v>
      </c>
      <c r="N15" s="12">
        <v>9.9499999999999993</v>
      </c>
      <c r="O15" s="12">
        <v>4.1399999999999997</v>
      </c>
      <c r="P15" s="21">
        <f t="shared" si="1"/>
        <v>14.09</v>
      </c>
      <c r="Q15" s="64">
        <f t="shared" si="17"/>
        <v>63968.6</v>
      </c>
      <c r="R15" s="64"/>
      <c r="S15" s="10">
        <f t="shared" si="2"/>
        <v>83</v>
      </c>
      <c r="T15" s="10">
        <f t="shared" si="3"/>
        <v>17</v>
      </c>
      <c r="U15" s="10">
        <f t="shared" si="4"/>
        <v>117</v>
      </c>
      <c r="V15" s="10">
        <f t="shared" si="5"/>
        <v>111</v>
      </c>
      <c r="W15" s="10">
        <f t="shared" si="6"/>
        <v>50</v>
      </c>
      <c r="X15" s="10">
        <f t="shared" si="7"/>
        <v>14</v>
      </c>
      <c r="Y15" s="10">
        <f t="shared" si="8"/>
        <v>9</v>
      </c>
      <c r="Z15" s="10">
        <f t="shared" si="9"/>
        <v>72</v>
      </c>
      <c r="AA15" s="10">
        <f t="shared" si="10"/>
        <v>118</v>
      </c>
      <c r="AB15" s="22">
        <f t="shared" si="11"/>
        <v>62.03</v>
      </c>
      <c r="AC15" s="23">
        <f t="shared" si="12"/>
        <v>77</v>
      </c>
      <c r="AE15" s="55">
        <f t="shared" si="18"/>
        <v>10</v>
      </c>
      <c r="AF15" s="22">
        <f t="shared" si="13"/>
        <v>40.93</v>
      </c>
      <c r="AG15" s="9" t="str">
        <f t="shared" si="14"/>
        <v>1295 Eglinton Ave E</v>
      </c>
      <c r="AH15" s="56">
        <f t="shared" si="15"/>
        <v>27</v>
      </c>
    </row>
    <row r="16" spans="1:34" ht="16" x14ac:dyDescent="0.2">
      <c r="A16" s="9" t="s">
        <v>37</v>
      </c>
      <c r="B16" s="10">
        <v>5</v>
      </c>
      <c r="C16" s="15" t="s">
        <v>112</v>
      </c>
      <c r="D16" s="10">
        <v>1985</v>
      </c>
      <c r="E16" s="10">
        <v>18</v>
      </c>
      <c r="F16" s="18">
        <f>650/2013</f>
        <v>0.32290114257327374</v>
      </c>
      <c r="G16" s="19">
        <v>1.21</v>
      </c>
      <c r="H16" s="13">
        <v>2013</v>
      </c>
      <c r="I16" s="20">
        <f t="shared" si="0"/>
        <v>187</v>
      </c>
      <c r="J16" s="20">
        <v>17903</v>
      </c>
      <c r="K16" s="67">
        <f t="shared" si="16"/>
        <v>0.11243925599061609</v>
      </c>
      <c r="L16" s="10">
        <v>2</v>
      </c>
      <c r="M16" s="22">
        <v>1.9</v>
      </c>
      <c r="N16" s="12">
        <v>9.9499999999999993</v>
      </c>
      <c r="O16" s="12">
        <v>5.5</v>
      </c>
      <c r="P16" s="21">
        <f t="shared" si="1"/>
        <v>15.45</v>
      </c>
      <c r="Q16" s="64">
        <f t="shared" si="17"/>
        <v>31100.85</v>
      </c>
      <c r="R16" s="64"/>
      <c r="S16" s="10">
        <f t="shared" si="2"/>
        <v>41</v>
      </c>
      <c r="T16" s="10">
        <f t="shared" si="3"/>
        <v>17</v>
      </c>
      <c r="U16" s="10">
        <f t="shared" si="4"/>
        <v>33</v>
      </c>
      <c r="V16" s="10">
        <f t="shared" si="5"/>
        <v>84</v>
      </c>
      <c r="W16" s="10">
        <f t="shared" si="6"/>
        <v>4</v>
      </c>
      <c r="X16" s="10">
        <f t="shared" si="7"/>
        <v>14</v>
      </c>
      <c r="Y16" s="10">
        <f t="shared" si="8"/>
        <v>73</v>
      </c>
      <c r="Z16" s="10">
        <f t="shared" si="9"/>
        <v>15</v>
      </c>
      <c r="AA16" s="10">
        <f t="shared" si="10"/>
        <v>28</v>
      </c>
      <c r="AB16" s="22">
        <f t="shared" si="11"/>
        <v>37.589999999999996</v>
      </c>
      <c r="AC16" s="23">
        <f t="shared" si="12"/>
        <v>4</v>
      </c>
      <c r="AE16" s="55">
        <f t="shared" si="18"/>
        <v>11</v>
      </c>
      <c r="AF16" s="22">
        <f t="shared" si="13"/>
        <v>42.34</v>
      </c>
      <c r="AG16" s="9" t="str">
        <f t="shared" si="14"/>
        <v>5456 Tomken Rd</v>
      </c>
      <c r="AH16" s="56">
        <f t="shared" si="15"/>
        <v>8</v>
      </c>
    </row>
    <row r="17" spans="1:34" ht="16" x14ac:dyDescent="0.2">
      <c r="A17" s="9" t="s">
        <v>38</v>
      </c>
      <c r="B17" s="10">
        <v>6</v>
      </c>
      <c r="C17" s="15" t="s">
        <v>113</v>
      </c>
      <c r="D17" s="10">
        <v>1988</v>
      </c>
      <c r="E17" s="10">
        <v>16</v>
      </c>
      <c r="F17" s="18">
        <f>680/2735</f>
        <v>0.24862888482632542</v>
      </c>
      <c r="G17" s="19">
        <v>1.1299999999999999</v>
      </c>
      <c r="H17" s="13">
        <v>2735</v>
      </c>
      <c r="I17" s="20">
        <f t="shared" si="0"/>
        <v>535</v>
      </c>
      <c r="J17" s="20">
        <v>39687</v>
      </c>
      <c r="K17" s="67">
        <f t="shared" si="16"/>
        <v>6.8914254037846151E-2</v>
      </c>
      <c r="L17" s="10">
        <v>2</v>
      </c>
      <c r="M17" s="22">
        <v>1.1000000000000001</v>
      </c>
      <c r="N17" s="12">
        <v>9.9499999999999993</v>
      </c>
      <c r="O17" s="12">
        <v>5.0999999999999996</v>
      </c>
      <c r="P17" s="21">
        <f t="shared" si="1"/>
        <v>15.049999999999999</v>
      </c>
      <c r="Q17" s="64">
        <f t="shared" si="17"/>
        <v>41161.75</v>
      </c>
      <c r="R17" s="64"/>
      <c r="S17" s="10">
        <f t="shared" si="2"/>
        <v>34</v>
      </c>
      <c r="T17" s="10">
        <f t="shared" si="3"/>
        <v>44</v>
      </c>
      <c r="U17" s="10">
        <f t="shared" si="4"/>
        <v>62</v>
      </c>
      <c r="V17" s="10">
        <f t="shared" si="5"/>
        <v>95</v>
      </c>
      <c r="W17" s="10">
        <f t="shared" si="6"/>
        <v>3</v>
      </c>
      <c r="X17" s="10">
        <f t="shared" si="7"/>
        <v>14</v>
      </c>
      <c r="Y17" s="10">
        <f t="shared" si="8"/>
        <v>53</v>
      </c>
      <c r="Z17" s="10">
        <f t="shared" si="9"/>
        <v>15</v>
      </c>
      <c r="AA17" s="10">
        <f t="shared" si="10"/>
        <v>53</v>
      </c>
      <c r="AB17" s="22">
        <f t="shared" si="11"/>
        <v>43.879999999999995</v>
      </c>
      <c r="AC17" s="23">
        <f t="shared" si="12"/>
        <v>14</v>
      </c>
      <c r="AE17" s="55">
        <f t="shared" si="18"/>
        <v>12</v>
      </c>
      <c r="AF17" s="22">
        <f t="shared" si="13"/>
        <v>42.67</v>
      </c>
      <c r="AG17" s="9" t="str">
        <f t="shared" si="14"/>
        <v>2820 Argentia Road</v>
      </c>
      <c r="AH17" s="56">
        <f t="shared" si="15"/>
        <v>3</v>
      </c>
    </row>
    <row r="18" spans="1:34" ht="16" x14ac:dyDescent="0.2">
      <c r="A18" s="9" t="s">
        <v>39</v>
      </c>
      <c r="B18" s="10"/>
      <c r="C18" s="15" t="s">
        <v>114</v>
      </c>
      <c r="D18" s="10">
        <v>1974</v>
      </c>
      <c r="E18" s="10">
        <v>13.3</v>
      </c>
      <c r="F18" s="18">
        <v>0.2</v>
      </c>
      <c r="G18" s="19">
        <v>1.38</v>
      </c>
      <c r="H18" s="13">
        <v>1550</v>
      </c>
      <c r="I18" s="20">
        <f t="shared" si="0"/>
        <v>650</v>
      </c>
      <c r="J18" s="20">
        <v>21714</v>
      </c>
      <c r="K18" s="67">
        <f t="shared" si="16"/>
        <v>7.1382518191028824E-2</v>
      </c>
      <c r="L18" s="10">
        <v>3</v>
      </c>
      <c r="M18" s="22">
        <v>12.6</v>
      </c>
      <c r="N18" s="12">
        <v>9.9499999999999993</v>
      </c>
      <c r="O18" s="12">
        <v>6.25</v>
      </c>
      <c r="P18" s="21">
        <f t="shared" si="1"/>
        <v>16.2</v>
      </c>
      <c r="Q18" s="64">
        <f t="shared" si="17"/>
        <v>25110</v>
      </c>
      <c r="R18" s="64"/>
      <c r="S18" s="10">
        <f t="shared" si="2"/>
        <v>95</v>
      </c>
      <c r="T18" s="10">
        <f t="shared" si="3"/>
        <v>103</v>
      </c>
      <c r="U18" s="10">
        <f t="shared" si="4"/>
        <v>73</v>
      </c>
      <c r="V18" s="10">
        <f t="shared" si="5"/>
        <v>63</v>
      </c>
      <c r="W18" s="10">
        <f t="shared" si="6"/>
        <v>95</v>
      </c>
      <c r="X18" s="10">
        <f t="shared" si="7"/>
        <v>14</v>
      </c>
      <c r="Y18" s="10">
        <f t="shared" si="8"/>
        <v>93</v>
      </c>
      <c r="Z18" s="10">
        <f t="shared" si="9"/>
        <v>72</v>
      </c>
      <c r="AA18" s="10">
        <f t="shared" si="10"/>
        <v>64</v>
      </c>
      <c r="AB18" s="22">
        <f t="shared" si="11"/>
        <v>70.850000000000023</v>
      </c>
      <c r="AC18" s="23">
        <f t="shared" si="12"/>
        <v>112</v>
      </c>
      <c r="AE18" s="55">
        <f t="shared" si="18"/>
        <v>13</v>
      </c>
      <c r="AF18" s="22">
        <f t="shared" si="13"/>
        <v>43.669999999999995</v>
      </c>
      <c r="AG18" s="9" t="str">
        <f t="shared" si="14"/>
        <v>996 Westport Cres</v>
      </c>
      <c r="AH18" s="56">
        <f t="shared" si="15"/>
        <v>5</v>
      </c>
    </row>
    <row r="19" spans="1:34" ht="16" x14ac:dyDescent="0.2">
      <c r="A19" s="9" t="s">
        <v>40</v>
      </c>
      <c r="B19" s="10"/>
      <c r="C19" s="15" t="s">
        <v>114</v>
      </c>
      <c r="D19" s="10">
        <v>1974</v>
      </c>
      <c r="E19" s="10">
        <v>13.3</v>
      </c>
      <c r="F19" s="18">
        <v>0.4</v>
      </c>
      <c r="G19" s="19">
        <v>1.38</v>
      </c>
      <c r="H19" s="13">
        <v>1504</v>
      </c>
      <c r="I19" s="20">
        <f t="shared" si="0"/>
        <v>696</v>
      </c>
      <c r="J19" s="20">
        <v>21714</v>
      </c>
      <c r="K19" s="67">
        <f t="shared" si="16"/>
        <v>6.9264069264069264E-2</v>
      </c>
      <c r="L19" s="10">
        <v>3</v>
      </c>
      <c r="M19" s="22">
        <v>12.6</v>
      </c>
      <c r="N19" s="12">
        <v>9.9499999999999993</v>
      </c>
      <c r="O19" s="12">
        <v>6.25</v>
      </c>
      <c r="P19" s="21">
        <f t="shared" si="1"/>
        <v>16.2</v>
      </c>
      <c r="Q19" s="64">
        <f t="shared" si="17"/>
        <v>24364.799999999999</v>
      </c>
      <c r="R19" s="64"/>
      <c r="S19" s="10">
        <f t="shared" si="2"/>
        <v>95</v>
      </c>
      <c r="T19" s="10">
        <f t="shared" si="3"/>
        <v>103</v>
      </c>
      <c r="U19" s="10">
        <f t="shared" si="4"/>
        <v>19</v>
      </c>
      <c r="V19" s="10">
        <f t="shared" si="5"/>
        <v>63</v>
      </c>
      <c r="W19" s="10">
        <f t="shared" si="6"/>
        <v>95</v>
      </c>
      <c r="X19" s="10">
        <f t="shared" si="7"/>
        <v>14</v>
      </c>
      <c r="Y19" s="10">
        <f t="shared" si="8"/>
        <v>93</v>
      </c>
      <c r="Z19" s="10">
        <f t="shared" si="9"/>
        <v>72</v>
      </c>
      <c r="AA19" s="10">
        <f t="shared" si="10"/>
        <v>67</v>
      </c>
      <c r="AB19" s="22">
        <f t="shared" si="11"/>
        <v>65.75</v>
      </c>
      <c r="AC19" s="23">
        <f t="shared" si="12"/>
        <v>91</v>
      </c>
      <c r="AE19" s="55">
        <f t="shared" si="18"/>
        <v>14</v>
      </c>
      <c r="AF19" s="22">
        <f t="shared" si="13"/>
        <v>43.879999999999995</v>
      </c>
      <c r="AG19" s="9" t="str">
        <f t="shared" si="14"/>
        <v>401 Traders Blvd E</v>
      </c>
      <c r="AH19" s="56">
        <f t="shared" si="15"/>
        <v>6</v>
      </c>
    </row>
    <row r="20" spans="1:34" ht="16" x14ac:dyDescent="0.2">
      <c r="A20" s="9" t="s">
        <v>41</v>
      </c>
      <c r="B20" s="10">
        <v>8</v>
      </c>
      <c r="C20" s="15" t="s">
        <v>115</v>
      </c>
      <c r="D20" s="10">
        <v>1982</v>
      </c>
      <c r="E20" s="10">
        <v>14</v>
      </c>
      <c r="F20" s="18">
        <f>500/3200</f>
        <v>0.15625</v>
      </c>
      <c r="G20" s="19">
        <v>0.67</v>
      </c>
      <c r="H20" s="13">
        <v>3200</v>
      </c>
      <c r="I20" s="20">
        <f t="shared" si="0"/>
        <v>1000</v>
      </c>
      <c r="J20" s="20">
        <v>66869</v>
      </c>
      <c r="K20" s="67">
        <f t="shared" si="16"/>
        <v>4.7854760800969058E-2</v>
      </c>
      <c r="L20" s="10">
        <v>2</v>
      </c>
      <c r="M20" s="22">
        <v>7.6</v>
      </c>
      <c r="N20" s="12">
        <v>10</v>
      </c>
      <c r="O20" s="12">
        <v>3.4</v>
      </c>
      <c r="P20" s="21">
        <f t="shared" si="1"/>
        <v>13.4</v>
      </c>
      <c r="Q20" s="64">
        <f t="shared" si="17"/>
        <v>42880</v>
      </c>
      <c r="R20" s="64"/>
      <c r="S20" s="10">
        <f t="shared" si="2"/>
        <v>51</v>
      </c>
      <c r="T20" s="10">
        <f t="shared" si="3"/>
        <v>68</v>
      </c>
      <c r="U20" s="10">
        <f t="shared" si="4"/>
        <v>93</v>
      </c>
      <c r="V20" s="10">
        <f t="shared" si="5"/>
        <v>116</v>
      </c>
      <c r="W20" s="10">
        <f t="shared" si="6"/>
        <v>66</v>
      </c>
      <c r="X20" s="10">
        <f t="shared" si="7"/>
        <v>19</v>
      </c>
      <c r="Y20" s="10">
        <f t="shared" si="8"/>
        <v>3</v>
      </c>
      <c r="Z20" s="10">
        <f t="shared" si="9"/>
        <v>15</v>
      </c>
      <c r="AA20" s="10">
        <f t="shared" si="10"/>
        <v>80</v>
      </c>
      <c r="AB20" s="22">
        <f t="shared" si="11"/>
        <v>56.69</v>
      </c>
      <c r="AC20" s="23">
        <f t="shared" si="12"/>
        <v>60</v>
      </c>
      <c r="AE20" s="55">
        <f t="shared" si="18"/>
        <v>15</v>
      </c>
      <c r="AF20" s="22">
        <f t="shared" si="13"/>
        <v>43.980000000000004</v>
      </c>
      <c r="AG20" s="9" t="str">
        <f t="shared" si="14"/>
        <v>5250 Satellite Dr</v>
      </c>
      <c r="AH20" s="56">
        <f t="shared" si="15"/>
        <v>10</v>
      </c>
    </row>
    <row r="21" spans="1:34" ht="16" x14ac:dyDescent="0.2">
      <c r="A21" s="9" t="s">
        <v>42</v>
      </c>
      <c r="B21" s="10">
        <v>5</v>
      </c>
      <c r="C21" s="15" t="s">
        <v>116</v>
      </c>
      <c r="D21" s="10">
        <v>1982</v>
      </c>
      <c r="E21" s="10">
        <v>14</v>
      </c>
      <c r="F21" s="18">
        <v>0.5</v>
      </c>
      <c r="G21" s="19">
        <v>2.2400000000000002</v>
      </c>
      <c r="H21" s="13">
        <v>3200</v>
      </c>
      <c r="I21" s="20">
        <f t="shared" si="0"/>
        <v>1000</v>
      </c>
      <c r="J21" s="20">
        <v>24075</v>
      </c>
      <c r="K21" s="67">
        <f t="shared" si="16"/>
        <v>0.13291796469366562</v>
      </c>
      <c r="L21" s="10">
        <v>2</v>
      </c>
      <c r="M21" s="22">
        <v>10.3</v>
      </c>
      <c r="N21" s="12">
        <v>10</v>
      </c>
      <c r="O21" s="12">
        <v>6.01</v>
      </c>
      <c r="P21" s="21">
        <f t="shared" si="1"/>
        <v>16.009999999999998</v>
      </c>
      <c r="Q21" s="64">
        <f t="shared" si="17"/>
        <v>51231.999999999993</v>
      </c>
      <c r="R21" s="64"/>
      <c r="S21" s="10">
        <f t="shared" si="2"/>
        <v>51</v>
      </c>
      <c r="T21" s="10">
        <f t="shared" si="3"/>
        <v>68</v>
      </c>
      <c r="U21" s="10">
        <f t="shared" si="4"/>
        <v>12</v>
      </c>
      <c r="V21" s="10">
        <f t="shared" si="5"/>
        <v>10</v>
      </c>
      <c r="W21" s="10">
        <f t="shared" si="6"/>
        <v>78</v>
      </c>
      <c r="X21" s="10">
        <f t="shared" si="7"/>
        <v>19</v>
      </c>
      <c r="Y21" s="10">
        <f t="shared" si="8"/>
        <v>88</v>
      </c>
      <c r="Z21" s="10">
        <f t="shared" si="9"/>
        <v>15</v>
      </c>
      <c r="AA21" s="10">
        <f t="shared" si="10"/>
        <v>80</v>
      </c>
      <c r="AB21" s="22">
        <f t="shared" si="11"/>
        <v>45.79</v>
      </c>
      <c r="AC21" s="23">
        <f t="shared" si="12"/>
        <v>25</v>
      </c>
      <c r="AE21" s="55">
        <f t="shared" si="18"/>
        <v>16</v>
      </c>
      <c r="AF21" s="22" t="e">
        <f t="shared" si="13"/>
        <v>#N/A</v>
      </c>
      <c r="AG21" s="9" t="e">
        <f t="shared" si="14"/>
        <v>#N/A</v>
      </c>
      <c r="AH21" s="56" t="e">
        <f t="shared" si="15"/>
        <v>#N/A</v>
      </c>
    </row>
    <row r="22" spans="1:34" ht="32" x14ac:dyDescent="0.2">
      <c r="A22" s="9" t="s">
        <v>43</v>
      </c>
      <c r="B22" s="10">
        <v>9</v>
      </c>
      <c r="C22" s="15" t="s">
        <v>117</v>
      </c>
      <c r="D22" s="10">
        <v>1974</v>
      </c>
      <c r="E22" s="10">
        <v>14</v>
      </c>
      <c r="F22" s="18">
        <f>1060/2658</f>
        <v>0.39879608728367194</v>
      </c>
      <c r="G22" s="19">
        <v>0.78</v>
      </c>
      <c r="H22" s="13">
        <v>2658</v>
      </c>
      <c r="I22" s="20">
        <f t="shared" si="0"/>
        <v>458</v>
      </c>
      <c r="J22" s="20">
        <v>38238</v>
      </c>
      <c r="K22" s="67">
        <f t="shared" si="16"/>
        <v>6.9512003765887342E-2</v>
      </c>
      <c r="L22" s="10">
        <v>3</v>
      </c>
      <c r="M22" s="22">
        <v>2.9</v>
      </c>
      <c r="N22" s="12">
        <v>10</v>
      </c>
      <c r="O22" s="12">
        <v>2.95</v>
      </c>
      <c r="P22" s="21">
        <f t="shared" si="1"/>
        <v>12.95</v>
      </c>
      <c r="Q22" s="64">
        <f t="shared" si="17"/>
        <v>34421.1</v>
      </c>
      <c r="R22" s="64"/>
      <c r="S22" s="10">
        <f t="shared" si="2"/>
        <v>95</v>
      </c>
      <c r="T22" s="10">
        <f t="shared" si="3"/>
        <v>68</v>
      </c>
      <c r="U22" s="10">
        <f t="shared" si="4"/>
        <v>24</v>
      </c>
      <c r="V22" s="10">
        <f t="shared" si="5"/>
        <v>112</v>
      </c>
      <c r="W22" s="10">
        <f t="shared" si="6"/>
        <v>10</v>
      </c>
      <c r="X22" s="10">
        <f t="shared" si="7"/>
        <v>19</v>
      </c>
      <c r="Y22" s="10">
        <f t="shared" si="8"/>
        <v>1</v>
      </c>
      <c r="Z22" s="10">
        <f t="shared" si="9"/>
        <v>72</v>
      </c>
      <c r="AA22" s="10">
        <f t="shared" si="10"/>
        <v>46</v>
      </c>
      <c r="AB22" s="22">
        <f t="shared" si="11"/>
        <v>47.420000000000009</v>
      </c>
      <c r="AC22" s="23">
        <f t="shared" si="12"/>
        <v>29</v>
      </c>
      <c r="AE22" s="55">
        <f t="shared" si="18"/>
        <v>17</v>
      </c>
      <c r="AF22" s="22">
        <f t="shared" si="13"/>
        <v>44.03</v>
      </c>
      <c r="AG22" s="9" t="str">
        <f t="shared" si="14"/>
        <v>1295 Eglinton Ave E</v>
      </c>
      <c r="AH22" s="56" t="str">
        <f t="shared" si="15"/>
        <v>27-28</v>
      </c>
    </row>
    <row r="23" spans="1:34" ht="16" x14ac:dyDescent="0.2">
      <c r="A23" s="9" t="s">
        <v>44</v>
      </c>
      <c r="B23" s="11" t="s">
        <v>45</v>
      </c>
      <c r="C23" s="15" t="s">
        <v>118</v>
      </c>
      <c r="D23" s="10">
        <v>1980</v>
      </c>
      <c r="E23" s="10">
        <v>13</v>
      </c>
      <c r="F23" s="18">
        <v>0.21</v>
      </c>
      <c r="G23" s="19">
        <v>0.81</v>
      </c>
      <c r="H23" s="13">
        <v>3310</v>
      </c>
      <c r="I23" s="20">
        <f t="shared" si="0"/>
        <v>1110</v>
      </c>
      <c r="J23" s="20">
        <v>64507</v>
      </c>
      <c r="K23" s="67">
        <f t="shared" si="16"/>
        <v>5.131226068488691E-2</v>
      </c>
      <c r="L23" s="10">
        <v>2</v>
      </c>
      <c r="M23" s="22">
        <v>11.5</v>
      </c>
      <c r="N23" s="12">
        <v>10.25</v>
      </c>
      <c r="O23" s="12">
        <v>5.0199999999999996</v>
      </c>
      <c r="P23" s="21">
        <f t="shared" si="1"/>
        <v>15.27</v>
      </c>
      <c r="Q23" s="64">
        <f t="shared" si="17"/>
        <v>50543.7</v>
      </c>
      <c r="R23" s="64"/>
      <c r="S23" s="10">
        <f t="shared" si="2"/>
        <v>58</v>
      </c>
      <c r="T23" s="10">
        <f t="shared" si="3"/>
        <v>105</v>
      </c>
      <c r="U23" s="10">
        <f t="shared" si="4"/>
        <v>67</v>
      </c>
      <c r="V23" s="10">
        <f t="shared" si="5"/>
        <v>106</v>
      </c>
      <c r="W23" s="10">
        <f t="shared" si="6"/>
        <v>83</v>
      </c>
      <c r="X23" s="10">
        <f t="shared" si="7"/>
        <v>23</v>
      </c>
      <c r="Y23" s="10">
        <f t="shared" si="8"/>
        <v>40</v>
      </c>
      <c r="Z23" s="10">
        <f t="shared" si="9"/>
        <v>15</v>
      </c>
      <c r="AA23" s="10">
        <f t="shared" si="10"/>
        <v>87</v>
      </c>
      <c r="AB23" s="22">
        <f t="shared" si="11"/>
        <v>65.069999999999993</v>
      </c>
      <c r="AC23" s="23">
        <f t="shared" si="12"/>
        <v>89</v>
      </c>
      <c r="AE23" s="55">
        <f t="shared" si="18"/>
        <v>18</v>
      </c>
      <c r="AF23" s="22" t="e">
        <f t="shared" si="13"/>
        <v>#N/A</v>
      </c>
      <c r="AG23" s="9" t="e">
        <f t="shared" si="14"/>
        <v>#N/A</v>
      </c>
      <c r="AH23" s="56" t="e">
        <f t="shared" si="15"/>
        <v>#N/A</v>
      </c>
    </row>
    <row r="24" spans="1:34" ht="16" x14ac:dyDescent="0.2">
      <c r="A24" s="9" t="s">
        <v>44</v>
      </c>
      <c r="B24" s="10">
        <v>18</v>
      </c>
      <c r="C24" s="15" t="s">
        <v>118</v>
      </c>
      <c r="D24" s="10">
        <v>1980</v>
      </c>
      <c r="E24" s="10">
        <v>13</v>
      </c>
      <c r="F24" s="18">
        <v>0.21</v>
      </c>
      <c r="G24" s="19">
        <v>0.81</v>
      </c>
      <c r="H24" s="13">
        <v>1717</v>
      </c>
      <c r="I24" s="20">
        <f t="shared" si="0"/>
        <v>483</v>
      </c>
      <c r="J24" s="20">
        <v>64507</v>
      </c>
      <c r="K24" s="67">
        <f t="shared" si="16"/>
        <v>2.6617266343187562E-2</v>
      </c>
      <c r="L24" s="10">
        <v>2</v>
      </c>
      <c r="M24" s="22">
        <v>11.5</v>
      </c>
      <c r="N24" s="12">
        <v>10.25</v>
      </c>
      <c r="O24" s="12">
        <v>5.0199999999999996</v>
      </c>
      <c r="P24" s="21">
        <f t="shared" si="1"/>
        <v>15.27</v>
      </c>
      <c r="Q24" s="64">
        <f t="shared" si="17"/>
        <v>26218.59</v>
      </c>
      <c r="R24" s="64"/>
      <c r="S24" s="10">
        <f t="shared" si="2"/>
        <v>58</v>
      </c>
      <c r="T24" s="10">
        <f t="shared" si="3"/>
        <v>105</v>
      </c>
      <c r="U24" s="10">
        <f t="shared" si="4"/>
        <v>67</v>
      </c>
      <c r="V24" s="10">
        <f t="shared" si="5"/>
        <v>106</v>
      </c>
      <c r="W24" s="10">
        <f t="shared" si="6"/>
        <v>83</v>
      </c>
      <c r="X24" s="10">
        <f t="shared" si="7"/>
        <v>23</v>
      </c>
      <c r="Y24" s="10">
        <f t="shared" si="8"/>
        <v>40</v>
      </c>
      <c r="Z24" s="10">
        <f t="shared" si="9"/>
        <v>15</v>
      </c>
      <c r="AA24" s="10">
        <f t="shared" si="10"/>
        <v>47</v>
      </c>
      <c r="AB24" s="22">
        <f t="shared" si="11"/>
        <v>61.069999999999993</v>
      </c>
      <c r="AC24" s="23">
        <f t="shared" si="12"/>
        <v>75</v>
      </c>
      <c r="AE24" s="55">
        <f t="shared" si="18"/>
        <v>19</v>
      </c>
      <c r="AF24" s="22">
        <f t="shared" si="13"/>
        <v>44.45</v>
      </c>
      <c r="AG24" s="9" t="str">
        <f t="shared" si="14"/>
        <v>1320 Mid-Way Blvd</v>
      </c>
      <c r="AH24" s="56">
        <f t="shared" si="15"/>
        <v>19</v>
      </c>
    </row>
    <row r="25" spans="1:34" ht="16" x14ac:dyDescent="0.2">
      <c r="A25" s="9" t="s">
        <v>44</v>
      </c>
      <c r="B25" s="10">
        <v>25</v>
      </c>
      <c r="C25" s="15" t="s">
        <v>118</v>
      </c>
      <c r="D25" s="10">
        <v>1980</v>
      </c>
      <c r="E25" s="10">
        <v>13</v>
      </c>
      <c r="F25" s="18">
        <v>0.21</v>
      </c>
      <c r="G25" s="19">
        <v>0.81</v>
      </c>
      <c r="H25" s="13">
        <v>1767</v>
      </c>
      <c r="I25" s="20">
        <f t="shared" si="0"/>
        <v>433</v>
      </c>
      <c r="J25" s="20">
        <v>64507</v>
      </c>
      <c r="K25" s="67">
        <f t="shared" si="16"/>
        <v>2.7392376021207001E-2</v>
      </c>
      <c r="L25" s="10">
        <v>2</v>
      </c>
      <c r="M25" s="22">
        <v>11.5</v>
      </c>
      <c r="N25" s="12">
        <v>10.25</v>
      </c>
      <c r="O25" s="12">
        <v>5.0199999999999996</v>
      </c>
      <c r="P25" s="21">
        <f t="shared" si="1"/>
        <v>15.27</v>
      </c>
      <c r="Q25" s="64">
        <f t="shared" si="17"/>
        <v>26982.09</v>
      </c>
      <c r="R25" s="64"/>
      <c r="S25" s="10">
        <f t="shared" si="2"/>
        <v>58</v>
      </c>
      <c r="T25" s="10">
        <f t="shared" si="3"/>
        <v>105</v>
      </c>
      <c r="U25" s="10">
        <f t="shared" si="4"/>
        <v>67</v>
      </c>
      <c r="V25" s="10">
        <f t="shared" si="5"/>
        <v>106</v>
      </c>
      <c r="W25" s="10">
        <f t="shared" si="6"/>
        <v>83</v>
      </c>
      <c r="X25" s="10">
        <f t="shared" si="7"/>
        <v>23</v>
      </c>
      <c r="Y25" s="10">
        <f t="shared" si="8"/>
        <v>40</v>
      </c>
      <c r="Z25" s="10">
        <f t="shared" si="9"/>
        <v>15</v>
      </c>
      <c r="AA25" s="10">
        <f t="shared" si="10"/>
        <v>40</v>
      </c>
      <c r="AB25" s="22">
        <f t="shared" si="11"/>
        <v>60.36999999999999</v>
      </c>
      <c r="AC25" s="23">
        <f t="shared" si="12"/>
        <v>72</v>
      </c>
      <c r="AE25" s="55">
        <f t="shared" si="18"/>
        <v>20</v>
      </c>
      <c r="AF25" s="22">
        <f t="shared" si="13"/>
        <v>45.379999999999995</v>
      </c>
      <c r="AG25" s="9" t="str">
        <f t="shared" si="14"/>
        <v>385 Admiral Blvd</v>
      </c>
      <c r="AH25" s="56">
        <f t="shared" si="15"/>
        <v>23</v>
      </c>
    </row>
    <row r="26" spans="1:34" ht="16" x14ac:dyDescent="0.2">
      <c r="A26" s="9" t="s">
        <v>44</v>
      </c>
      <c r="B26" s="10">
        <v>19</v>
      </c>
      <c r="C26" s="15" t="s">
        <v>118</v>
      </c>
      <c r="D26" s="10">
        <v>1980</v>
      </c>
      <c r="E26" s="10">
        <v>13</v>
      </c>
      <c r="F26" s="18">
        <v>0.21</v>
      </c>
      <c r="G26" s="19">
        <v>0.81</v>
      </c>
      <c r="H26" s="13">
        <v>1746</v>
      </c>
      <c r="I26" s="20">
        <f t="shared" si="0"/>
        <v>454</v>
      </c>
      <c r="J26" s="20">
        <v>64507</v>
      </c>
      <c r="K26" s="67">
        <f t="shared" si="16"/>
        <v>2.7066829956438835E-2</v>
      </c>
      <c r="L26" s="10">
        <v>2</v>
      </c>
      <c r="M26" s="22">
        <v>11.5</v>
      </c>
      <c r="N26" s="12">
        <v>10.25</v>
      </c>
      <c r="O26" s="12">
        <v>5.0199999999999996</v>
      </c>
      <c r="P26" s="21">
        <f t="shared" si="1"/>
        <v>15.27</v>
      </c>
      <c r="Q26" s="64">
        <f t="shared" si="17"/>
        <v>26661.42</v>
      </c>
      <c r="R26" s="64"/>
      <c r="S26" s="10">
        <f t="shared" si="2"/>
        <v>58</v>
      </c>
      <c r="T26" s="10">
        <f t="shared" si="3"/>
        <v>105</v>
      </c>
      <c r="U26" s="10">
        <f t="shared" si="4"/>
        <v>67</v>
      </c>
      <c r="V26" s="10">
        <f t="shared" si="5"/>
        <v>106</v>
      </c>
      <c r="W26" s="10">
        <f t="shared" si="6"/>
        <v>83</v>
      </c>
      <c r="X26" s="10">
        <f t="shared" si="7"/>
        <v>23</v>
      </c>
      <c r="Y26" s="10">
        <f t="shared" si="8"/>
        <v>40</v>
      </c>
      <c r="Z26" s="10">
        <f t="shared" si="9"/>
        <v>15</v>
      </c>
      <c r="AA26" s="10">
        <f t="shared" si="10"/>
        <v>45</v>
      </c>
      <c r="AB26" s="22">
        <f t="shared" si="11"/>
        <v>60.86999999999999</v>
      </c>
      <c r="AC26" s="23">
        <f t="shared" si="12"/>
        <v>74</v>
      </c>
      <c r="AE26" s="55">
        <f t="shared" si="18"/>
        <v>21</v>
      </c>
      <c r="AF26" s="22">
        <f t="shared" si="13"/>
        <v>45.480000000000004</v>
      </c>
      <c r="AG26" s="9" t="str">
        <f t="shared" si="14"/>
        <v>5250 Satellite Dr</v>
      </c>
      <c r="AH26" s="56">
        <f t="shared" si="15"/>
        <v>37</v>
      </c>
    </row>
    <row r="27" spans="1:34" ht="16" x14ac:dyDescent="0.2">
      <c r="A27" s="9" t="s">
        <v>44</v>
      </c>
      <c r="B27" s="10">
        <v>5</v>
      </c>
      <c r="C27" s="15" t="s">
        <v>118</v>
      </c>
      <c r="D27" s="10">
        <v>1980</v>
      </c>
      <c r="E27" s="10">
        <v>13</v>
      </c>
      <c r="F27" s="18">
        <v>0.34</v>
      </c>
      <c r="G27" s="19">
        <v>0.81</v>
      </c>
      <c r="H27" s="13">
        <v>2049</v>
      </c>
      <c r="I27" s="20">
        <f t="shared" si="0"/>
        <v>151</v>
      </c>
      <c r="J27" s="20">
        <v>64507</v>
      </c>
      <c r="K27" s="67">
        <f t="shared" si="16"/>
        <v>3.1763994605236642E-2</v>
      </c>
      <c r="L27" s="10">
        <v>2</v>
      </c>
      <c r="M27" s="22">
        <v>11.5</v>
      </c>
      <c r="N27" s="12">
        <v>10.25</v>
      </c>
      <c r="O27" s="12">
        <v>5.05</v>
      </c>
      <c r="P27" s="21">
        <f t="shared" si="1"/>
        <v>15.3</v>
      </c>
      <c r="Q27" s="64">
        <f t="shared" si="17"/>
        <v>31349.7</v>
      </c>
      <c r="R27" s="64"/>
      <c r="S27" s="10">
        <f t="shared" si="2"/>
        <v>58</v>
      </c>
      <c r="T27" s="10">
        <f t="shared" si="3"/>
        <v>105</v>
      </c>
      <c r="U27" s="10">
        <f t="shared" si="4"/>
        <v>28</v>
      </c>
      <c r="V27" s="10">
        <f t="shared" si="5"/>
        <v>106</v>
      </c>
      <c r="W27" s="10">
        <f t="shared" si="6"/>
        <v>83</v>
      </c>
      <c r="X27" s="10">
        <f t="shared" si="7"/>
        <v>23</v>
      </c>
      <c r="Y27" s="10">
        <f t="shared" si="8"/>
        <v>48</v>
      </c>
      <c r="Z27" s="10">
        <f t="shared" si="9"/>
        <v>15</v>
      </c>
      <c r="AA27" s="10">
        <f t="shared" si="10"/>
        <v>23</v>
      </c>
      <c r="AB27" s="22">
        <f t="shared" si="11"/>
        <v>55.889999999999993</v>
      </c>
      <c r="AC27" s="23">
        <f t="shared" si="12"/>
        <v>55</v>
      </c>
      <c r="AE27" s="55">
        <f t="shared" si="18"/>
        <v>22</v>
      </c>
      <c r="AF27" s="22">
        <f t="shared" si="13"/>
        <v>45.55</v>
      </c>
      <c r="AG27" s="9" t="str">
        <f t="shared" si="14"/>
        <v>1590 Matheson Blvd</v>
      </c>
      <c r="AH27" s="56">
        <f t="shared" si="15"/>
        <v>7</v>
      </c>
    </row>
    <row r="28" spans="1:34" ht="16" x14ac:dyDescent="0.2">
      <c r="A28" s="9" t="s">
        <v>46</v>
      </c>
      <c r="B28" s="10">
        <v>20</v>
      </c>
      <c r="C28" s="15" t="s">
        <v>118</v>
      </c>
      <c r="D28" s="10">
        <v>1980</v>
      </c>
      <c r="E28" s="10">
        <v>13</v>
      </c>
      <c r="F28" s="18">
        <v>0.24</v>
      </c>
      <c r="G28" s="19">
        <v>1.83</v>
      </c>
      <c r="H28" s="13">
        <v>1699</v>
      </c>
      <c r="I28" s="20">
        <f t="shared" si="0"/>
        <v>501</v>
      </c>
      <c r="J28" s="20">
        <v>28432</v>
      </c>
      <c r="K28" s="67">
        <f t="shared" si="16"/>
        <v>5.9756612267867194E-2</v>
      </c>
      <c r="L28" s="10">
        <v>2</v>
      </c>
      <c r="M28" s="22">
        <v>11.5</v>
      </c>
      <c r="N28" s="12">
        <v>10.25</v>
      </c>
      <c r="O28" s="12">
        <v>5.05</v>
      </c>
      <c r="P28" s="21">
        <f t="shared" si="1"/>
        <v>15.3</v>
      </c>
      <c r="Q28" s="64">
        <f t="shared" si="17"/>
        <v>25994.7</v>
      </c>
      <c r="R28" s="64"/>
      <c r="S28" s="10">
        <f t="shared" si="2"/>
        <v>58</v>
      </c>
      <c r="T28" s="10">
        <f t="shared" si="3"/>
        <v>105</v>
      </c>
      <c r="U28" s="10">
        <f t="shared" si="4"/>
        <v>64</v>
      </c>
      <c r="V28" s="10">
        <f t="shared" si="5"/>
        <v>23</v>
      </c>
      <c r="W28" s="10">
        <f t="shared" si="6"/>
        <v>83</v>
      </c>
      <c r="X28" s="10">
        <f t="shared" si="7"/>
        <v>23</v>
      </c>
      <c r="Y28" s="10">
        <f t="shared" si="8"/>
        <v>48</v>
      </c>
      <c r="Z28" s="10">
        <f t="shared" si="9"/>
        <v>15</v>
      </c>
      <c r="AA28" s="10">
        <f t="shared" si="10"/>
        <v>49</v>
      </c>
      <c r="AB28" s="22">
        <f t="shared" si="11"/>
        <v>49.639999999999993</v>
      </c>
      <c r="AC28" s="23">
        <f t="shared" si="12"/>
        <v>31</v>
      </c>
      <c r="AE28" s="55">
        <f t="shared" si="18"/>
        <v>23</v>
      </c>
      <c r="AF28" s="22">
        <f t="shared" si="13"/>
        <v>45.62</v>
      </c>
      <c r="AG28" s="9" t="str">
        <f t="shared" si="14"/>
        <v>6660 Kennedy Rd</v>
      </c>
      <c r="AH28" s="56" t="str">
        <f t="shared" si="15"/>
        <v>4A</v>
      </c>
    </row>
    <row r="29" spans="1:34" ht="16" x14ac:dyDescent="0.2">
      <c r="A29" s="9" t="s">
        <v>46</v>
      </c>
      <c r="B29" s="11" t="s">
        <v>47</v>
      </c>
      <c r="C29" s="15" t="s">
        <v>118</v>
      </c>
      <c r="D29" s="10">
        <v>1980</v>
      </c>
      <c r="E29" s="10">
        <v>13</v>
      </c>
      <c r="F29" s="18">
        <v>0.26</v>
      </c>
      <c r="G29" s="19">
        <v>1.83</v>
      </c>
      <c r="H29" s="13">
        <v>3154</v>
      </c>
      <c r="I29" s="20">
        <f t="shared" si="0"/>
        <v>954</v>
      </c>
      <c r="J29" s="20">
        <v>28432</v>
      </c>
      <c r="K29" s="67">
        <f t="shared" si="16"/>
        <v>0.1109313449634215</v>
      </c>
      <c r="L29" s="10">
        <v>2</v>
      </c>
      <c r="M29" s="22">
        <v>11.5</v>
      </c>
      <c r="N29" s="12">
        <v>10.25</v>
      </c>
      <c r="O29" s="12">
        <v>5.05</v>
      </c>
      <c r="P29" s="21">
        <f t="shared" si="1"/>
        <v>15.3</v>
      </c>
      <c r="Q29" s="64">
        <f t="shared" si="17"/>
        <v>48256.200000000004</v>
      </c>
      <c r="R29" s="64"/>
      <c r="S29" s="10">
        <f t="shared" si="2"/>
        <v>58</v>
      </c>
      <c r="T29" s="10">
        <f t="shared" si="3"/>
        <v>105</v>
      </c>
      <c r="U29" s="10">
        <f t="shared" si="4"/>
        <v>39</v>
      </c>
      <c r="V29" s="10">
        <f t="shared" si="5"/>
        <v>23</v>
      </c>
      <c r="W29" s="10">
        <f t="shared" si="6"/>
        <v>83</v>
      </c>
      <c r="X29" s="10">
        <f t="shared" si="7"/>
        <v>23</v>
      </c>
      <c r="Y29" s="10">
        <f t="shared" si="8"/>
        <v>48</v>
      </c>
      <c r="Z29" s="10">
        <f t="shared" si="9"/>
        <v>15</v>
      </c>
      <c r="AA29" s="10">
        <f t="shared" si="10"/>
        <v>78</v>
      </c>
      <c r="AB29" s="22">
        <f t="shared" si="11"/>
        <v>50.039999999999992</v>
      </c>
      <c r="AC29" s="23">
        <f t="shared" si="12"/>
        <v>34</v>
      </c>
      <c r="AE29" s="55">
        <f t="shared" si="18"/>
        <v>24</v>
      </c>
      <c r="AF29" s="22">
        <f t="shared" si="13"/>
        <v>45.72</v>
      </c>
      <c r="AG29" s="9" t="str">
        <f t="shared" si="14"/>
        <v>6660 Kennedy Rd</v>
      </c>
      <c r="AH29" s="56" t="str">
        <f t="shared" si="15"/>
        <v>5B</v>
      </c>
    </row>
    <row r="30" spans="1:34" ht="16" x14ac:dyDescent="0.2">
      <c r="A30" s="9" t="s">
        <v>46</v>
      </c>
      <c r="B30" s="10">
        <v>9</v>
      </c>
      <c r="C30" s="15" t="s">
        <v>118</v>
      </c>
      <c r="D30" s="10">
        <v>1980</v>
      </c>
      <c r="E30" s="10">
        <v>13</v>
      </c>
      <c r="F30" s="18">
        <v>0.21</v>
      </c>
      <c r="G30" s="19">
        <v>1.83</v>
      </c>
      <c r="H30" s="13">
        <v>1655</v>
      </c>
      <c r="I30" s="20">
        <f t="shared" si="0"/>
        <v>545</v>
      </c>
      <c r="J30" s="20">
        <v>28432</v>
      </c>
      <c r="K30" s="67">
        <f t="shared" si="16"/>
        <v>5.8209060213843554E-2</v>
      </c>
      <c r="L30" s="10">
        <v>2</v>
      </c>
      <c r="M30" s="22">
        <v>11.5</v>
      </c>
      <c r="N30" s="12">
        <v>10.25</v>
      </c>
      <c r="O30" s="12">
        <v>5.05</v>
      </c>
      <c r="P30" s="21">
        <f t="shared" si="1"/>
        <v>15.3</v>
      </c>
      <c r="Q30" s="64">
        <f t="shared" si="17"/>
        <v>25321.5</v>
      </c>
      <c r="R30" s="64"/>
      <c r="S30" s="10">
        <f t="shared" si="2"/>
        <v>58</v>
      </c>
      <c r="T30" s="10">
        <f t="shared" si="3"/>
        <v>105</v>
      </c>
      <c r="U30" s="10">
        <f t="shared" si="4"/>
        <v>67</v>
      </c>
      <c r="V30" s="10">
        <f t="shared" si="5"/>
        <v>23</v>
      </c>
      <c r="W30" s="10">
        <f t="shared" si="6"/>
        <v>83</v>
      </c>
      <c r="X30" s="10">
        <f t="shared" si="7"/>
        <v>23</v>
      </c>
      <c r="Y30" s="10">
        <f t="shared" si="8"/>
        <v>48</v>
      </c>
      <c r="Z30" s="10">
        <f t="shared" si="9"/>
        <v>15</v>
      </c>
      <c r="AA30" s="10">
        <f t="shared" si="10"/>
        <v>54</v>
      </c>
      <c r="AB30" s="22">
        <f t="shared" si="11"/>
        <v>50.44</v>
      </c>
      <c r="AC30" s="23">
        <f t="shared" si="12"/>
        <v>38</v>
      </c>
      <c r="AE30" s="55">
        <f t="shared" si="18"/>
        <v>25</v>
      </c>
      <c r="AF30" s="22">
        <f t="shared" si="13"/>
        <v>45.79</v>
      </c>
      <c r="AG30" s="9" t="str">
        <f t="shared" si="14"/>
        <v>2045 Dundas St E</v>
      </c>
      <c r="AH30" s="56">
        <f t="shared" si="15"/>
        <v>5</v>
      </c>
    </row>
    <row r="31" spans="1:34" ht="16" x14ac:dyDescent="0.2">
      <c r="A31" s="9" t="s">
        <v>44</v>
      </c>
      <c r="B31" s="10">
        <v>9</v>
      </c>
      <c r="C31" s="15" t="s">
        <v>118</v>
      </c>
      <c r="D31" s="10">
        <v>1980</v>
      </c>
      <c r="E31" s="10">
        <v>13</v>
      </c>
      <c r="F31" s="18">
        <v>0.05</v>
      </c>
      <c r="G31" s="19">
        <v>1.83</v>
      </c>
      <c r="H31" s="13">
        <v>2148</v>
      </c>
      <c r="I31" s="20">
        <f t="shared" si="0"/>
        <v>52</v>
      </c>
      <c r="J31" s="20">
        <v>64507</v>
      </c>
      <c r="K31" s="67">
        <f t="shared" si="16"/>
        <v>3.3298711767715129E-2</v>
      </c>
      <c r="L31" s="10">
        <v>2</v>
      </c>
      <c r="M31" s="22">
        <v>11.5</v>
      </c>
      <c r="N31" s="12">
        <v>10.25</v>
      </c>
      <c r="O31" s="12">
        <v>5.0199999999999996</v>
      </c>
      <c r="P31" s="21">
        <f t="shared" si="1"/>
        <v>15.27</v>
      </c>
      <c r="Q31" s="64">
        <f t="shared" si="17"/>
        <v>32799.96</v>
      </c>
      <c r="R31" s="64"/>
      <c r="S31" s="10">
        <f t="shared" si="2"/>
        <v>58</v>
      </c>
      <c r="T31" s="10">
        <f t="shared" si="3"/>
        <v>105</v>
      </c>
      <c r="U31" s="10">
        <f t="shared" si="4"/>
        <v>121</v>
      </c>
      <c r="V31" s="10">
        <f t="shared" si="5"/>
        <v>23</v>
      </c>
      <c r="W31" s="10">
        <f t="shared" si="6"/>
        <v>83</v>
      </c>
      <c r="X31" s="10">
        <f t="shared" si="7"/>
        <v>23</v>
      </c>
      <c r="Y31" s="10">
        <f t="shared" si="8"/>
        <v>40</v>
      </c>
      <c r="Z31" s="10">
        <f t="shared" si="9"/>
        <v>15</v>
      </c>
      <c r="AA31" s="10">
        <f t="shared" si="10"/>
        <v>6</v>
      </c>
      <c r="AB31" s="22">
        <f t="shared" si="11"/>
        <v>49.92</v>
      </c>
      <c r="AC31" s="23">
        <f t="shared" si="12"/>
        <v>33</v>
      </c>
      <c r="AE31" s="55">
        <f t="shared" si="18"/>
        <v>26</v>
      </c>
      <c r="AF31" s="22">
        <f t="shared" si="13"/>
        <v>46</v>
      </c>
      <c r="AG31" s="9" t="str">
        <f t="shared" si="14"/>
        <v>6535 Millcreek Dr</v>
      </c>
      <c r="AH31" s="56">
        <f t="shared" si="15"/>
        <v>6</v>
      </c>
    </row>
    <row r="32" spans="1:34" ht="16" x14ac:dyDescent="0.2">
      <c r="A32" s="9" t="s">
        <v>48</v>
      </c>
      <c r="B32" s="10">
        <v>7</v>
      </c>
      <c r="C32" s="15" t="s">
        <v>118</v>
      </c>
      <c r="D32" s="10">
        <v>1980</v>
      </c>
      <c r="E32" s="10">
        <v>13</v>
      </c>
      <c r="F32" s="18">
        <v>0.25</v>
      </c>
      <c r="G32" s="19">
        <v>0.65</v>
      </c>
      <c r="H32" s="13">
        <v>3149</v>
      </c>
      <c r="I32" s="20">
        <f t="shared" si="0"/>
        <v>949</v>
      </c>
      <c r="J32" s="20">
        <v>23839</v>
      </c>
      <c r="K32" s="67">
        <f t="shared" si="16"/>
        <v>0.13209446704979236</v>
      </c>
      <c r="L32" s="10">
        <v>2</v>
      </c>
      <c r="M32" s="22">
        <v>10.9</v>
      </c>
      <c r="N32" s="12">
        <v>10.25</v>
      </c>
      <c r="O32" s="12">
        <v>5.0199999999999996</v>
      </c>
      <c r="P32" s="21">
        <f t="shared" si="1"/>
        <v>15.27</v>
      </c>
      <c r="Q32" s="64">
        <f t="shared" si="17"/>
        <v>48085.229999999996</v>
      </c>
      <c r="R32" s="64"/>
      <c r="S32" s="10">
        <f t="shared" si="2"/>
        <v>58</v>
      </c>
      <c r="T32" s="10">
        <f t="shared" si="3"/>
        <v>105</v>
      </c>
      <c r="U32" s="10">
        <f t="shared" si="4"/>
        <v>40</v>
      </c>
      <c r="V32" s="10">
        <f t="shared" si="5"/>
        <v>118</v>
      </c>
      <c r="W32" s="10">
        <f t="shared" si="6"/>
        <v>80</v>
      </c>
      <c r="X32" s="10">
        <f t="shared" si="7"/>
        <v>23</v>
      </c>
      <c r="Y32" s="10">
        <f t="shared" si="8"/>
        <v>40</v>
      </c>
      <c r="Z32" s="10">
        <f t="shared" si="9"/>
        <v>15</v>
      </c>
      <c r="AA32" s="10">
        <f t="shared" si="10"/>
        <v>75</v>
      </c>
      <c r="AB32" s="22">
        <f t="shared" si="11"/>
        <v>62.67</v>
      </c>
      <c r="AC32" s="23">
        <f t="shared" si="12"/>
        <v>80</v>
      </c>
      <c r="AE32" s="55">
        <f t="shared" si="18"/>
        <v>27</v>
      </c>
      <c r="AF32" s="22">
        <f t="shared" si="13"/>
        <v>46.06</v>
      </c>
      <c r="AG32" s="9" t="str">
        <f t="shared" si="14"/>
        <v>6810 Kitimat Rd</v>
      </c>
      <c r="AH32" s="56">
        <f t="shared" si="15"/>
        <v>11</v>
      </c>
    </row>
    <row r="33" spans="1:34" ht="16" x14ac:dyDescent="0.2">
      <c r="A33" s="9" t="s">
        <v>49</v>
      </c>
      <c r="B33" s="10">
        <v>9</v>
      </c>
      <c r="C33" s="15" t="s">
        <v>119</v>
      </c>
      <c r="D33" s="10">
        <v>1975</v>
      </c>
      <c r="E33" s="10">
        <v>16</v>
      </c>
      <c r="F33" s="18">
        <f>500/1200</f>
        <v>0.41666666666666669</v>
      </c>
      <c r="G33" s="19">
        <v>1.55</v>
      </c>
      <c r="H33" s="13">
        <v>1200</v>
      </c>
      <c r="I33" s="20">
        <f t="shared" si="0"/>
        <v>1000</v>
      </c>
      <c r="J33" s="20">
        <v>20868</v>
      </c>
      <c r="K33" s="67">
        <f t="shared" si="16"/>
        <v>5.7504312823461759E-2</v>
      </c>
      <c r="L33" s="10">
        <v>3</v>
      </c>
      <c r="M33" s="22">
        <v>15.4</v>
      </c>
      <c r="N33" s="12">
        <v>10.25</v>
      </c>
      <c r="O33" s="12">
        <v>5.66</v>
      </c>
      <c r="P33" s="21">
        <f t="shared" si="1"/>
        <v>15.91</v>
      </c>
      <c r="Q33" s="64">
        <f t="shared" si="17"/>
        <v>19092</v>
      </c>
      <c r="R33" s="64"/>
      <c r="S33" s="10">
        <f t="shared" si="2"/>
        <v>93</v>
      </c>
      <c r="T33" s="10">
        <f t="shared" si="3"/>
        <v>44</v>
      </c>
      <c r="U33" s="10">
        <f t="shared" si="4"/>
        <v>18</v>
      </c>
      <c r="V33" s="10">
        <f t="shared" si="5"/>
        <v>44</v>
      </c>
      <c r="W33" s="10">
        <f t="shared" si="6"/>
        <v>106</v>
      </c>
      <c r="X33" s="10">
        <f t="shared" si="7"/>
        <v>23</v>
      </c>
      <c r="Y33" s="10">
        <f t="shared" si="8"/>
        <v>78</v>
      </c>
      <c r="Z33" s="10">
        <f t="shared" si="9"/>
        <v>72</v>
      </c>
      <c r="AA33" s="10">
        <f t="shared" si="10"/>
        <v>80</v>
      </c>
      <c r="AB33" s="22">
        <f t="shared" si="11"/>
        <v>58.480000000000004</v>
      </c>
      <c r="AC33" s="23">
        <f t="shared" si="12"/>
        <v>64</v>
      </c>
      <c r="AE33" s="55">
        <f t="shared" si="18"/>
        <v>28</v>
      </c>
      <c r="AF33" s="22">
        <f t="shared" si="13"/>
        <v>46.11</v>
      </c>
      <c r="AG33" s="9" t="str">
        <f t="shared" si="14"/>
        <v>6355 Kennedy Rd</v>
      </c>
      <c r="AH33" s="56">
        <f t="shared" si="15"/>
        <v>10</v>
      </c>
    </row>
    <row r="34" spans="1:34" ht="16" x14ac:dyDescent="0.2">
      <c r="A34" s="9" t="s">
        <v>50</v>
      </c>
      <c r="B34" s="10">
        <v>7</v>
      </c>
      <c r="C34" s="15" t="s">
        <v>120</v>
      </c>
      <c r="D34" s="10">
        <v>1978</v>
      </c>
      <c r="E34" s="10">
        <v>18</v>
      </c>
      <c r="F34" s="18">
        <v>0.13</v>
      </c>
      <c r="G34" s="19">
        <v>1.35</v>
      </c>
      <c r="H34" s="13">
        <v>3469</v>
      </c>
      <c r="I34" s="20">
        <f t="shared" si="0"/>
        <v>1269</v>
      </c>
      <c r="J34" s="20">
        <v>38486</v>
      </c>
      <c r="K34" s="67">
        <f t="shared" si="16"/>
        <v>9.0136673075923712E-2</v>
      </c>
      <c r="L34" s="10">
        <v>3</v>
      </c>
      <c r="M34" s="22">
        <v>6.5</v>
      </c>
      <c r="N34" s="12">
        <v>10.5</v>
      </c>
      <c r="O34" s="12">
        <v>5.76</v>
      </c>
      <c r="P34" s="21">
        <f t="shared" si="1"/>
        <v>16.259999999999998</v>
      </c>
      <c r="Q34" s="64">
        <f t="shared" si="17"/>
        <v>56405.939999999995</v>
      </c>
      <c r="R34" s="64"/>
      <c r="S34" s="10">
        <f t="shared" si="2"/>
        <v>84</v>
      </c>
      <c r="T34" s="10">
        <f t="shared" si="3"/>
        <v>17</v>
      </c>
      <c r="U34" s="10">
        <f t="shared" si="4"/>
        <v>114</v>
      </c>
      <c r="V34" s="10">
        <f t="shared" si="5"/>
        <v>68</v>
      </c>
      <c r="W34" s="10">
        <f t="shared" si="6"/>
        <v>46</v>
      </c>
      <c r="X34" s="10">
        <f t="shared" si="7"/>
        <v>35</v>
      </c>
      <c r="Y34" s="10">
        <f t="shared" si="8"/>
        <v>82</v>
      </c>
      <c r="Z34" s="10">
        <f t="shared" si="9"/>
        <v>72</v>
      </c>
      <c r="AA34" s="10">
        <f t="shared" si="10"/>
        <v>95</v>
      </c>
      <c r="AB34" s="22">
        <f t="shared" si="11"/>
        <v>66.240000000000009</v>
      </c>
      <c r="AC34" s="23">
        <f t="shared" si="12"/>
        <v>94</v>
      </c>
      <c r="AE34" s="55">
        <f t="shared" si="18"/>
        <v>29</v>
      </c>
      <c r="AF34" s="22">
        <f t="shared" si="13"/>
        <v>47.420000000000009</v>
      </c>
      <c r="AG34" s="9" t="str">
        <f t="shared" si="14"/>
        <v>1011 Haultain Crt</v>
      </c>
      <c r="AH34" s="56">
        <f t="shared" si="15"/>
        <v>9</v>
      </c>
    </row>
    <row r="35" spans="1:34" ht="16" x14ac:dyDescent="0.2">
      <c r="A35" s="9" t="s">
        <v>51</v>
      </c>
      <c r="B35" s="10" t="s">
        <v>52</v>
      </c>
      <c r="C35" s="15" t="s">
        <v>121</v>
      </c>
      <c r="D35" s="10">
        <v>1995</v>
      </c>
      <c r="E35" s="10">
        <v>17.100000000000001</v>
      </c>
      <c r="F35" s="18">
        <v>0.4</v>
      </c>
      <c r="G35" s="19">
        <v>1.37</v>
      </c>
      <c r="H35" s="13">
        <v>3267</v>
      </c>
      <c r="I35" s="20">
        <f t="shared" si="0"/>
        <v>1067</v>
      </c>
      <c r="J35" s="20">
        <v>95225</v>
      </c>
      <c r="K35" s="67">
        <f t="shared" si="16"/>
        <v>3.4308217379889733E-2</v>
      </c>
      <c r="L35" s="10">
        <v>2</v>
      </c>
      <c r="M35" s="22">
        <v>4</v>
      </c>
      <c r="N35" s="12">
        <v>10.5</v>
      </c>
      <c r="O35" s="12">
        <v>5.75</v>
      </c>
      <c r="P35" s="21">
        <f t="shared" si="1"/>
        <v>16.25</v>
      </c>
      <c r="Q35" s="64">
        <f t="shared" si="17"/>
        <v>53088.75</v>
      </c>
      <c r="R35" s="64"/>
      <c r="S35" s="10">
        <f t="shared" si="2"/>
        <v>17</v>
      </c>
      <c r="T35" s="10">
        <f t="shared" si="3"/>
        <v>37</v>
      </c>
      <c r="U35" s="10">
        <f t="shared" si="4"/>
        <v>19</v>
      </c>
      <c r="V35" s="10">
        <f t="shared" si="5"/>
        <v>65</v>
      </c>
      <c r="W35" s="10">
        <f t="shared" si="6"/>
        <v>27</v>
      </c>
      <c r="X35" s="10">
        <f t="shared" si="7"/>
        <v>35</v>
      </c>
      <c r="Y35" s="10">
        <f t="shared" si="8"/>
        <v>79</v>
      </c>
      <c r="Z35" s="10">
        <f t="shared" si="9"/>
        <v>15</v>
      </c>
      <c r="AA35" s="10">
        <f t="shared" si="10"/>
        <v>85</v>
      </c>
      <c r="AB35" s="22">
        <f t="shared" si="11"/>
        <v>45.62</v>
      </c>
      <c r="AC35" s="23">
        <f t="shared" si="12"/>
        <v>23</v>
      </c>
      <c r="AE35" s="55">
        <f t="shared" si="18"/>
        <v>30</v>
      </c>
      <c r="AF35" s="22">
        <f t="shared" si="13"/>
        <v>47.95</v>
      </c>
      <c r="AG35" s="9" t="str">
        <f t="shared" si="14"/>
        <v>7895 Tranmere Dr</v>
      </c>
      <c r="AH35" s="56">
        <f t="shared" si="15"/>
        <v>14</v>
      </c>
    </row>
    <row r="36" spans="1:34" ht="16" x14ac:dyDescent="0.2">
      <c r="A36" s="9" t="s">
        <v>51</v>
      </c>
      <c r="B36" s="10">
        <v>5</v>
      </c>
      <c r="C36" s="15" t="s">
        <v>121</v>
      </c>
      <c r="D36" s="10">
        <v>1995</v>
      </c>
      <c r="E36" s="10">
        <v>17.100000000000001</v>
      </c>
      <c r="F36" s="18">
        <v>0.25</v>
      </c>
      <c r="G36" s="19">
        <v>1.37</v>
      </c>
      <c r="H36" s="13">
        <v>4919</v>
      </c>
      <c r="I36" s="20">
        <f t="shared" si="0"/>
        <v>2719</v>
      </c>
      <c r="J36" s="20">
        <v>95225</v>
      </c>
      <c r="K36" s="67">
        <f t="shared" si="16"/>
        <v>5.1656602782882644E-2</v>
      </c>
      <c r="L36" s="10">
        <v>2</v>
      </c>
      <c r="M36" s="22">
        <v>4</v>
      </c>
      <c r="N36" s="12">
        <v>10.5</v>
      </c>
      <c r="O36" s="12">
        <v>5.75</v>
      </c>
      <c r="P36" s="21">
        <f t="shared" si="1"/>
        <v>16.25</v>
      </c>
      <c r="Q36" s="64">
        <f t="shared" si="17"/>
        <v>79933.75</v>
      </c>
      <c r="R36" s="64"/>
      <c r="S36" s="10">
        <f t="shared" si="2"/>
        <v>17</v>
      </c>
      <c r="T36" s="10">
        <f t="shared" si="3"/>
        <v>37</v>
      </c>
      <c r="U36" s="10">
        <f t="shared" si="4"/>
        <v>40</v>
      </c>
      <c r="V36" s="10">
        <f t="shared" si="5"/>
        <v>65</v>
      </c>
      <c r="W36" s="10">
        <f t="shared" si="6"/>
        <v>27</v>
      </c>
      <c r="X36" s="10">
        <f t="shared" si="7"/>
        <v>35</v>
      </c>
      <c r="Y36" s="10">
        <f t="shared" si="8"/>
        <v>79</v>
      </c>
      <c r="Z36" s="10">
        <f t="shared" si="9"/>
        <v>15</v>
      </c>
      <c r="AA36" s="10">
        <f t="shared" si="10"/>
        <v>122</v>
      </c>
      <c r="AB36" s="22">
        <f t="shared" si="11"/>
        <v>51.42</v>
      </c>
      <c r="AC36" s="23">
        <f t="shared" si="12"/>
        <v>43</v>
      </c>
      <c r="AE36" s="55">
        <f t="shared" si="18"/>
        <v>31</v>
      </c>
      <c r="AF36" s="22">
        <f t="shared" si="13"/>
        <v>49.639999999999993</v>
      </c>
      <c r="AG36" s="9" t="str">
        <f t="shared" si="14"/>
        <v>7290 Torbram Rd</v>
      </c>
      <c r="AH36" s="56">
        <f t="shared" si="15"/>
        <v>20</v>
      </c>
    </row>
    <row r="37" spans="1:34" ht="16" x14ac:dyDescent="0.2">
      <c r="A37" s="9" t="s">
        <v>51</v>
      </c>
      <c r="B37" s="10" t="s">
        <v>53</v>
      </c>
      <c r="C37" s="15" t="s">
        <v>121</v>
      </c>
      <c r="D37" s="10">
        <v>1995</v>
      </c>
      <c r="E37" s="10">
        <v>17.100000000000001</v>
      </c>
      <c r="F37" s="18">
        <v>0.25</v>
      </c>
      <c r="G37" s="19">
        <v>1.37</v>
      </c>
      <c r="H37" s="13">
        <v>2879</v>
      </c>
      <c r="I37" s="20">
        <f t="shared" si="0"/>
        <v>679</v>
      </c>
      <c r="J37" s="20">
        <v>95225</v>
      </c>
      <c r="K37" s="67">
        <f t="shared" si="16"/>
        <v>3.0233657127855081E-2</v>
      </c>
      <c r="L37" s="10">
        <v>2</v>
      </c>
      <c r="M37" s="22">
        <v>4</v>
      </c>
      <c r="N37" s="12">
        <v>10.5</v>
      </c>
      <c r="O37" s="12">
        <v>5.75</v>
      </c>
      <c r="P37" s="21">
        <f t="shared" si="1"/>
        <v>16.25</v>
      </c>
      <c r="Q37" s="64">
        <f t="shared" si="17"/>
        <v>46783.75</v>
      </c>
      <c r="R37" s="64"/>
      <c r="S37" s="10">
        <f t="shared" si="2"/>
        <v>17</v>
      </c>
      <c r="T37" s="10">
        <f t="shared" si="3"/>
        <v>37</v>
      </c>
      <c r="U37" s="10">
        <f t="shared" si="4"/>
        <v>40</v>
      </c>
      <c r="V37" s="10">
        <f t="shared" si="5"/>
        <v>65</v>
      </c>
      <c r="W37" s="10">
        <f t="shared" si="6"/>
        <v>27</v>
      </c>
      <c r="X37" s="10">
        <f t="shared" si="7"/>
        <v>35</v>
      </c>
      <c r="Y37" s="10">
        <f t="shared" si="8"/>
        <v>79</v>
      </c>
      <c r="Z37" s="10">
        <f t="shared" si="9"/>
        <v>15</v>
      </c>
      <c r="AA37" s="10">
        <f t="shared" si="10"/>
        <v>65</v>
      </c>
      <c r="AB37" s="22">
        <f t="shared" si="11"/>
        <v>45.72</v>
      </c>
      <c r="AC37" s="23">
        <f t="shared" si="12"/>
        <v>24</v>
      </c>
      <c r="AE37" s="55">
        <f t="shared" si="18"/>
        <v>32</v>
      </c>
      <c r="AF37" s="22">
        <f t="shared" si="13"/>
        <v>49.760000000000005</v>
      </c>
      <c r="AG37" s="9" t="str">
        <f t="shared" si="14"/>
        <v>2850 Argentia Rd</v>
      </c>
      <c r="AH37" s="56">
        <f t="shared" si="15"/>
        <v>4</v>
      </c>
    </row>
    <row r="38" spans="1:34" ht="16" x14ac:dyDescent="0.2">
      <c r="A38" s="9" t="s">
        <v>54</v>
      </c>
      <c r="B38" s="11" t="s">
        <v>55</v>
      </c>
      <c r="C38" s="15" t="s">
        <v>122</v>
      </c>
      <c r="D38" s="10">
        <v>1974</v>
      </c>
      <c r="E38" s="10">
        <v>14</v>
      </c>
      <c r="F38" s="18">
        <v>0.4</v>
      </c>
      <c r="G38" s="19">
        <v>1.21</v>
      </c>
      <c r="H38" s="13">
        <v>3420</v>
      </c>
      <c r="I38" s="20">
        <f t="shared" ref="I38:I69" si="19">ABS(H38-H$128)</f>
        <v>1220</v>
      </c>
      <c r="J38" s="20">
        <v>23260</v>
      </c>
      <c r="K38" s="67">
        <f t="shared" si="16"/>
        <v>0.14703353396388649</v>
      </c>
      <c r="L38" s="10">
        <v>3</v>
      </c>
      <c r="M38" s="22">
        <v>3.7</v>
      </c>
      <c r="N38" s="12">
        <v>10.5</v>
      </c>
      <c r="O38" s="12">
        <v>5.3</v>
      </c>
      <c r="P38" s="21">
        <f t="shared" ref="P38:P69" si="20">SUM(N38:O38)</f>
        <v>15.8</v>
      </c>
      <c r="Q38" s="64">
        <f t="shared" si="17"/>
        <v>54036</v>
      </c>
      <c r="R38" s="64"/>
      <c r="S38" s="10">
        <f t="shared" ref="S38:S69" si="21">RANK(D38,D$6:D$128,0)</f>
        <v>95</v>
      </c>
      <c r="T38" s="10">
        <f t="shared" ref="T38:T69" si="22">RANK(E38,E$6:E$128,0)</f>
        <v>68</v>
      </c>
      <c r="U38" s="10">
        <f t="shared" ref="U38:U69" si="23">RANK(F38,F$6:F$128,0)</f>
        <v>19</v>
      </c>
      <c r="V38" s="10">
        <f t="shared" ref="V38:V69" si="24">RANK(G38,G$6:G$128,0)</f>
        <v>84</v>
      </c>
      <c r="W38" s="10">
        <f t="shared" ref="W38:W69" si="25">RANK(M38,M$6:M$128,1)</f>
        <v>23</v>
      </c>
      <c r="X38" s="10">
        <f t="shared" ref="X38:X69" si="26">RANK(N38,N$6:N$128,1)</f>
        <v>35</v>
      </c>
      <c r="Y38" s="10">
        <f t="shared" ref="Y38:Y69" si="27">RANK(O38,O$6:O$128,1)</f>
        <v>68</v>
      </c>
      <c r="Z38" s="10">
        <f t="shared" ref="Z38:Z69" si="28">RANK(L38,L$6:L$128,1)</f>
        <v>72</v>
      </c>
      <c r="AA38" s="10">
        <f t="shared" ref="AA38:AA69" si="29">RANK(I38,I$6:I$128,1)</f>
        <v>94</v>
      </c>
      <c r="AB38" s="22">
        <f t="shared" ref="AB38:AB69" si="30">SUMPRODUCT(S38:AA38,S$4:AA$4)</f>
        <v>60.76</v>
      </c>
      <c r="AC38" s="23">
        <f t="shared" ref="AC38:AC69" si="31">RANK(AB38,AB$6:AB$128,1)</f>
        <v>73</v>
      </c>
      <c r="AE38" s="55">
        <f t="shared" si="18"/>
        <v>33</v>
      </c>
      <c r="AF38" s="22">
        <f t="shared" ref="AF38:AF69" si="32">_xlfn.XLOOKUP(AE38,AC$6:AC$128,AB$6:AB$128)</f>
        <v>49.92</v>
      </c>
      <c r="AG38" s="9" t="str">
        <f t="shared" ref="AG38:AG69" si="33">_xlfn.XLOOKUP($AE38,$AC$6:$AC$128,A$6:A$128)</f>
        <v>7270 Torbram Rd</v>
      </c>
      <c r="AH38" s="56">
        <f t="shared" ref="AH38:AH69" si="34">_xlfn.XLOOKUP($AE38,$AC$6:$AC$128,B$6:B$128)</f>
        <v>9</v>
      </c>
    </row>
    <row r="39" spans="1:34" ht="16" x14ac:dyDescent="0.2">
      <c r="A39" s="9" t="s">
        <v>56</v>
      </c>
      <c r="B39" s="10">
        <v>14</v>
      </c>
      <c r="C39" s="15" t="s">
        <v>123</v>
      </c>
      <c r="D39" s="10">
        <v>1990</v>
      </c>
      <c r="E39" s="10">
        <v>10</v>
      </c>
      <c r="F39" s="18">
        <v>0.5</v>
      </c>
      <c r="G39" s="19">
        <v>1.08</v>
      </c>
      <c r="H39" s="13">
        <v>2370</v>
      </c>
      <c r="I39" s="20">
        <f t="shared" si="19"/>
        <v>170</v>
      </c>
      <c r="J39" s="20">
        <v>73852</v>
      </c>
      <c r="K39" s="67">
        <f t="shared" si="16"/>
        <v>3.2091209445918867E-2</v>
      </c>
      <c r="L39" s="10">
        <v>2</v>
      </c>
      <c r="M39" s="22">
        <v>8.5</v>
      </c>
      <c r="N39" s="12">
        <v>10.75</v>
      </c>
      <c r="O39" s="12">
        <v>3.57</v>
      </c>
      <c r="P39" s="21">
        <f t="shared" si="20"/>
        <v>14.32</v>
      </c>
      <c r="Q39" s="64">
        <f t="shared" si="17"/>
        <v>33938.400000000001</v>
      </c>
      <c r="R39" s="64"/>
      <c r="S39" s="10">
        <f t="shared" si="21"/>
        <v>20</v>
      </c>
      <c r="T39" s="10">
        <f t="shared" si="22"/>
        <v>123</v>
      </c>
      <c r="U39" s="10">
        <f t="shared" si="23"/>
        <v>12</v>
      </c>
      <c r="V39" s="10">
        <f t="shared" si="24"/>
        <v>100</v>
      </c>
      <c r="W39" s="10">
        <f t="shared" si="25"/>
        <v>72</v>
      </c>
      <c r="X39" s="10">
        <f t="shared" si="26"/>
        <v>40</v>
      </c>
      <c r="Y39" s="10">
        <f t="shared" si="27"/>
        <v>5</v>
      </c>
      <c r="Z39" s="10">
        <f t="shared" si="28"/>
        <v>15</v>
      </c>
      <c r="AA39" s="10">
        <f t="shared" si="29"/>
        <v>25</v>
      </c>
      <c r="AB39" s="22">
        <f t="shared" si="30"/>
        <v>47.95</v>
      </c>
      <c r="AC39" s="23">
        <f t="shared" si="31"/>
        <v>30</v>
      </c>
      <c r="AE39" s="55">
        <f t="shared" si="18"/>
        <v>34</v>
      </c>
      <c r="AF39" s="22">
        <f t="shared" si="32"/>
        <v>50.039999999999992</v>
      </c>
      <c r="AG39" s="9" t="str">
        <f t="shared" si="33"/>
        <v>7290 Torbram Rd</v>
      </c>
      <c r="AH39" s="56" t="str">
        <f t="shared" si="34"/>
        <v>11-12</v>
      </c>
    </row>
    <row r="40" spans="1:34" ht="16" x14ac:dyDescent="0.2">
      <c r="A40" s="9" t="s">
        <v>57</v>
      </c>
      <c r="B40" s="10"/>
      <c r="C40" s="15" t="s">
        <v>124</v>
      </c>
      <c r="D40" s="10">
        <v>1980</v>
      </c>
      <c r="E40" s="10">
        <v>12</v>
      </c>
      <c r="F40" s="18">
        <f>912/1202</f>
        <v>0.75873544093178036</v>
      </c>
      <c r="G40" s="19">
        <v>1.64</v>
      </c>
      <c r="H40" s="13">
        <v>1202</v>
      </c>
      <c r="I40" s="20">
        <f t="shared" si="19"/>
        <v>998</v>
      </c>
      <c r="J40" s="20">
        <v>24396</v>
      </c>
      <c r="K40" s="67">
        <f t="shared" si="16"/>
        <v>4.9270372192162647E-2</v>
      </c>
      <c r="L40" s="10">
        <v>2</v>
      </c>
      <c r="M40" s="22">
        <v>13.5</v>
      </c>
      <c r="N40" s="12">
        <v>10.95</v>
      </c>
      <c r="O40" s="12">
        <v>6.62</v>
      </c>
      <c r="P40" s="21">
        <f t="shared" si="20"/>
        <v>17.57</v>
      </c>
      <c r="Q40" s="64">
        <f t="shared" si="17"/>
        <v>21119.14</v>
      </c>
      <c r="R40" s="64"/>
      <c r="S40" s="10">
        <f t="shared" si="21"/>
        <v>58</v>
      </c>
      <c r="T40" s="10">
        <f t="shared" si="22"/>
        <v>121</v>
      </c>
      <c r="U40" s="10">
        <f t="shared" si="23"/>
        <v>7</v>
      </c>
      <c r="V40" s="10">
        <f t="shared" si="24"/>
        <v>41</v>
      </c>
      <c r="W40" s="10">
        <f t="shared" si="25"/>
        <v>100</v>
      </c>
      <c r="X40" s="10">
        <f t="shared" si="26"/>
        <v>41</v>
      </c>
      <c r="Y40" s="10">
        <f t="shared" si="27"/>
        <v>114</v>
      </c>
      <c r="Z40" s="10">
        <f t="shared" si="28"/>
        <v>15</v>
      </c>
      <c r="AA40" s="10">
        <f t="shared" si="29"/>
        <v>79</v>
      </c>
      <c r="AB40" s="22">
        <f t="shared" si="30"/>
        <v>65.06</v>
      </c>
      <c r="AC40" s="23">
        <f t="shared" si="31"/>
        <v>88</v>
      </c>
      <c r="AE40" s="55">
        <f t="shared" si="18"/>
        <v>35</v>
      </c>
      <c r="AF40" s="22">
        <f t="shared" si="32"/>
        <v>50.06</v>
      </c>
      <c r="AG40" s="9" t="str">
        <f t="shared" si="33"/>
        <v>245 Matheson Blvd E</v>
      </c>
      <c r="AH40" s="56">
        <f t="shared" si="34"/>
        <v>15</v>
      </c>
    </row>
    <row r="41" spans="1:34" ht="16" x14ac:dyDescent="0.2">
      <c r="A41" s="9" t="s">
        <v>58</v>
      </c>
      <c r="B41" s="11" t="s">
        <v>59</v>
      </c>
      <c r="C41" s="15" t="s">
        <v>125</v>
      </c>
      <c r="D41" s="26">
        <v>1980</v>
      </c>
      <c r="E41" s="10">
        <v>16</v>
      </c>
      <c r="F41" s="18">
        <v>0.2</v>
      </c>
      <c r="G41" s="19">
        <v>1.75</v>
      </c>
      <c r="H41" s="13">
        <v>3315</v>
      </c>
      <c r="I41" s="20">
        <f t="shared" si="19"/>
        <v>1115</v>
      </c>
      <c r="J41" s="20">
        <v>49292</v>
      </c>
      <c r="K41" s="67">
        <f t="shared" si="16"/>
        <v>6.725229246125132E-2</v>
      </c>
      <c r="L41" s="10">
        <v>2</v>
      </c>
      <c r="M41" s="22">
        <v>3.9</v>
      </c>
      <c r="N41" s="12">
        <v>10.95</v>
      </c>
      <c r="O41" s="12">
        <v>4.8499999999999996</v>
      </c>
      <c r="P41" s="21">
        <f t="shared" si="20"/>
        <v>15.799999999999999</v>
      </c>
      <c r="Q41" s="64">
        <f t="shared" si="17"/>
        <v>52377</v>
      </c>
      <c r="R41" s="64"/>
      <c r="S41" s="10">
        <f t="shared" si="21"/>
        <v>58</v>
      </c>
      <c r="T41" s="10">
        <f t="shared" si="22"/>
        <v>44</v>
      </c>
      <c r="U41" s="10">
        <f t="shared" si="23"/>
        <v>73</v>
      </c>
      <c r="V41" s="10">
        <f t="shared" si="24"/>
        <v>34</v>
      </c>
      <c r="W41" s="10">
        <f t="shared" si="25"/>
        <v>24</v>
      </c>
      <c r="X41" s="10">
        <f t="shared" si="26"/>
        <v>41</v>
      </c>
      <c r="Y41" s="10">
        <f t="shared" si="27"/>
        <v>27</v>
      </c>
      <c r="Z41" s="10">
        <f t="shared" si="28"/>
        <v>15</v>
      </c>
      <c r="AA41" s="10">
        <f t="shared" si="29"/>
        <v>88</v>
      </c>
      <c r="AB41" s="22">
        <f t="shared" si="30"/>
        <v>44.03</v>
      </c>
      <c r="AC41" s="23">
        <f t="shared" si="31"/>
        <v>17</v>
      </c>
      <c r="AE41" s="55">
        <f t="shared" si="18"/>
        <v>36</v>
      </c>
      <c r="AF41" s="22">
        <f t="shared" si="32"/>
        <v>50.210000000000008</v>
      </c>
      <c r="AG41" s="9" t="str">
        <f t="shared" si="33"/>
        <v>2645 Skymark Avenue</v>
      </c>
      <c r="AH41" s="56" t="str">
        <f t="shared" si="34"/>
        <v>201B</v>
      </c>
    </row>
    <row r="42" spans="1:34" ht="16" x14ac:dyDescent="0.2">
      <c r="A42" s="9" t="s">
        <v>58</v>
      </c>
      <c r="B42" s="10">
        <v>27</v>
      </c>
      <c r="C42" s="15" t="s">
        <v>125</v>
      </c>
      <c r="D42" s="26">
        <v>1980</v>
      </c>
      <c r="E42" s="10">
        <v>16</v>
      </c>
      <c r="F42" s="18">
        <v>0.2</v>
      </c>
      <c r="G42" s="19">
        <v>1.75</v>
      </c>
      <c r="H42" s="13">
        <v>1634</v>
      </c>
      <c r="I42" s="20">
        <f t="shared" si="19"/>
        <v>566</v>
      </c>
      <c r="J42" s="20">
        <v>49292</v>
      </c>
      <c r="K42" s="67">
        <f t="shared" si="16"/>
        <v>3.3149395439422219E-2</v>
      </c>
      <c r="L42" s="10">
        <v>2</v>
      </c>
      <c r="M42" s="22">
        <v>3.9</v>
      </c>
      <c r="N42" s="12">
        <v>10.95</v>
      </c>
      <c r="O42" s="12">
        <v>4.8499999999999996</v>
      </c>
      <c r="P42" s="21">
        <f t="shared" si="20"/>
        <v>15.799999999999999</v>
      </c>
      <c r="Q42" s="64">
        <f t="shared" si="17"/>
        <v>25817.199999999997</v>
      </c>
      <c r="R42" s="64"/>
      <c r="S42" s="10">
        <f t="shared" si="21"/>
        <v>58</v>
      </c>
      <c r="T42" s="10">
        <f t="shared" si="22"/>
        <v>44</v>
      </c>
      <c r="U42" s="10">
        <f t="shared" si="23"/>
        <v>73</v>
      </c>
      <c r="V42" s="10">
        <f t="shared" si="24"/>
        <v>34</v>
      </c>
      <c r="W42" s="10">
        <f t="shared" si="25"/>
        <v>24</v>
      </c>
      <c r="X42" s="10">
        <f t="shared" si="26"/>
        <v>41</v>
      </c>
      <c r="Y42" s="10">
        <f t="shared" si="27"/>
        <v>27</v>
      </c>
      <c r="Z42" s="10">
        <f t="shared" si="28"/>
        <v>15</v>
      </c>
      <c r="AA42" s="10">
        <f t="shared" si="29"/>
        <v>57</v>
      </c>
      <c r="AB42" s="22">
        <f t="shared" si="30"/>
        <v>40.93</v>
      </c>
      <c r="AC42" s="23">
        <f t="shared" si="31"/>
        <v>10</v>
      </c>
      <c r="AE42" s="55">
        <f t="shared" si="18"/>
        <v>37</v>
      </c>
      <c r="AF42" s="22">
        <f t="shared" si="32"/>
        <v>50.25</v>
      </c>
      <c r="AG42" s="9" t="str">
        <f t="shared" si="33"/>
        <v>1235 Shawson Dr</v>
      </c>
      <c r="AH42" s="56" t="str">
        <f t="shared" si="34"/>
        <v>10-11</v>
      </c>
    </row>
    <row r="43" spans="1:34" ht="16" x14ac:dyDescent="0.2">
      <c r="A43" s="9" t="s">
        <v>58</v>
      </c>
      <c r="B43" s="10">
        <v>28</v>
      </c>
      <c r="C43" s="15" t="s">
        <v>125</v>
      </c>
      <c r="D43" s="26">
        <v>1980</v>
      </c>
      <c r="E43" s="10">
        <v>16</v>
      </c>
      <c r="F43" s="18">
        <v>0.2</v>
      </c>
      <c r="G43" s="19">
        <v>1.75</v>
      </c>
      <c r="H43" s="13">
        <v>1681</v>
      </c>
      <c r="I43" s="20">
        <f t="shared" si="19"/>
        <v>519</v>
      </c>
      <c r="J43" s="20">
        <v>49292</v>
      </c>
      <c r="K43" s="67">
        <f t="shared" si="16"/>
        <v>3.4102897021829101E-2</v>
      </c>
      <c r="L43" s="10">
        <v>2</v>
      </c>
      <c r="M43" s="22">
        <v>3.9</v>
      </c>
      <c r="N43" s="12">
        <v>10.95</v>
      </c>
      <c r="O43" s="12">
        <v>4.8499999999999996</v>
      </c>
      <c r="P43" s="21">
        <f t="shared" si="20"/>
        <v>15.799999999999999</v>
      </c>
      <c r="Q43" s="64">
        <f t="shared" si="17"/>
        <v>26559.8</v>
      </c>
      <c r="R43" s="64"/>
      <c r="S43" s="10">
        <f t="shared" si="21"/>
        <v>58</v>
      </c>
      <c r="T43" s="10">
        <f t="shared" si="22"/>
        <v>44</v>
      </c>
      <c r="U43" s="10">
        <f t="shared" si="23"/>
        <v>73</v>
      </c>
      <c r="V43" s="10">
        <f t="shared" si="24"/>
        <v>34</v>
      </c>
      <c r="W43" s="10">
        <f t="shared" si="25"/>
        <v>24</v>
      </c>
      <c r="X43" s="10">
        <f t="shared" si="26"/>
        <v>41</v>
      </c>
      <c r="Y43" s="10">
        <f t="shared" si="27"/>
        <v>27</v>
      </c>
      <c r="Z43" s="10">
        <f t="shared" si="28"/>
        <v>15</v>
      </c>
      <c r="AA43" s="10">
        <f t="shared" si="29"/>
        <v>51</v>
      </c>
      <c r="AB43" s="22">
        <f t="shared" si="30"/>
        <v>40.33</v>
      </c>
      <c r="AC43" s="23">
        <f t="shared" si="31"/>
        <v>9</v>
      </c>
      <c r="AE43" s="55">
        <f t="shared" si="18"/>
        <v>38</v>
      </c>
      <c r="AF43" s="22">
        <f t="shared" si="32"/>
        <v>50.44</v>
      </c>
      <c r="AG43" s="9" t="str">
        <f t="shared" si="33"/>
        <v>7290 Torbram Rd</v>
      </c>
      <c r="AH43" s="56">
        <f t="shared" si="34"/>
        <v>9</v>
      </c>
    </row>
    <row r="44" spans="1:34" ht="16" x14ac:dyDescent="0.2">
      <c r="A44" s="9" t="s">
        <v>60</v>
      </c>
      <c r="B44" s="10">
        <v>15</v>
      </c>
      <c r="C44" s="15" t="s">
        <v>126</v>
      </c>
      <c r="D44" s="26">
        <v>1980</v>
      </c>
      <c r="E44" s="10">
        <v>18</v>
      </c>
      <c r="F44" s="18">
        <f>1125/2813</f>
        <v>0.39992890152861715</v>
      </c>
      <c r="G44" s="19">
        <v>1.1000000000000001</v>
      </c>
      <c r="H44" s="13">
        <v>2813</v>
      </c>
      <c r="I44" s="20">
        <f t="shared" si="19"/>
        <v>613</v>
      </c>
      <c r="J44" s="20">
        <v>45607</v>
      </c>
      <c r="K44" s="67">
        <f t="shared" si="16"/>
        <v>6.1679128204003772E-2</v>
      </c>
      <c r="L44" s="10">
        <v>2</v>
      </c>
      <c r="M44" s="22">
        <v>0.5</v>
      </c>
      <c r="N44" s="12">
        <v>10.95</v>
      </c>
      <c r="O44" s="12">
        <v>6.06</v>
      </c>
      <c r="P44" s="21">
        <f t="shared" si="20"/>
        <v>17.009999999999998</v>
      </c>
      <c r="Q44" s="64">
        <f t="shared" si="17"/>
        <v>47849.13</v>
      </c>
      <c r="R44" s="64"/>
      <c r="S44" s="10">
        <f t="shared" si="21"/>
        <v>58</v>
      </c>
      <c r="T44" s="10">
        <f t="shared" si="22"/>
        <v>17</v>
      </c>
      <c r="U44" s="10">
        <f t="shared" si="23"/>
        <v>23</v>
      </c>
      <c r="V44" s="10">
        <f t="shared" si="24"/>
        <v>99</v>
      </c>
      <c r="W44" s="10">
        <f t="shared" si="25"/>
        <v>2</v>
      </c>
      <c r="X44" s="10">
        <f t="shared" si="26"/>
        <v>41</v>
      </c>
      <c r="Y44" s="10">
        <f t="shared" si="27"/>
        <v>89</v>
      </c>
      <c r="Z44" s="10">
        <f t="shared" si="28"/>
        <v>15</v>
      </c>
      <c r="AA44" s="10">
        <f t="shared" si="29"/>
        <v>63</v>
      </c>
      <c r="AB44" s="22">
        <f t="shared" si="30"/>
        <v>50.06</v>
      </c>
      <c r="AC44" s="23">
        <f t="shared" si="31"/>
        <v>35</v>
      </c>
      <c r="AE44" s="55">
        <f t="shared" si="18"/>
        <v>39</v>
      </c>
      <c r="AF44" s="22">
        <f t="shared" si="32"/>
        <v>50.5</v>
      </c>
      <c r="AG44" s="9" t="str">
        <f t="shared" si="33"/>
        <v>3200 Ridgeway Dr</v>
      </c>
      <c r="AH44" s="56">
        <f t="shared" si="34"/>
        <v>2</v>
      </c>
    </row>
    <row r="45" spans="1:34" ht="16" x14ac:dyDescent="0.2">
      <c r="A45" s="9" t="s">
        <v>61</v>
      </c>
      <c r="B45" s="10">
        <v>9</v>
      </c>
      <c r="C45" s="15" t="s">
        <v>127</v>
      </c>
      <c r="D45" s="10">
        <v>1989</v>
      </c>
      <c r="E45" s="10">
        <v>18.3</v>
      </c>
      <c r="F45" s="18">
        <v>0.25</v>
      </c>
      <c r="G45" s="19">
        <v>1.54</v>
      </c>
      <c r="H45" s="13">
        <v>3906</v>
      </c>
      <c r="I45" s="20">
        <f t="shared" si="19"/>
        <v>1706</v>
      </c>
      <c r="J45" s="20">
        <v>56009</v>
      </c>
      <c r="K45" s="67">
        <f t="shared" si="16"/>
        <v>6.9738791979860382E-2</v>
      </c>
      <c r="L45" s="10">
        <v>2</v>
      </c>
      <c r="M45" s="22">
        <v>2.1</v>
      </c>
      <c r="N45" s="12">
        <v>11</v>
      </c>
      <c r="O45" s="12">
        <v>6.64</v>
      </c>
      <c r="P45" s="21">
        <f t="shared" si="20"/>
        <v>17.64</v>
      </c>
      <c r="Q45" s="64">
        <f t="shared" si="17"/>
        <v>68901.84</v>
      </c>
      <c r="R45" s="64"/>
      <c r="S45" s="10">
        <f t="shared" si="21"/>
        <v>32</v>
      </c>
      <c r="T45" s="10">
        <f t="shared" si="22"/>
        <v>16</v>
      </c>
      <c r="U45" s="10">
        <f t="shared" si="23"/>
        <v>40</v>
      </c>
      <c r="V45" s="10">
        <f t="shared" si="24"/>
        <v>45</v>
      </c>
      <c r="W45" s="10">
        <f t="shared" si="25"/>
        <v>8</v>
      </c>
      <c r="X45" s="10">
        <f t="shared" si="26"/>
        <v>48</v>
      </c>
      <c r="Y45" s="10">
        <f t="shared" si="27"/>
        <v>115</v>
      </c>
      <c r="Z45" s="10">
        <f t="shared" si="28"/>
        <v>15</v>
      </c>
      <c r="AA45" s="10">
        <f t="shared" si="29"/>
        <v>101</v>
      </c>
      <c r="AB45" s="22">
        <f t="shared" si="30"/>
        <v>50.64</v>
      </c>
      <c r="AC45" s="23">
        <f t="shared" si="31"/>
        <v>40</v>
      </c>
      <c r="AE45" s="55">
        <f t="shared" si="18"/>
        <v>40</v>
      </c>
      <c r="AF45" s="22">
        <f t="shared" si="32"/>
        <v>50.64</v>
      </c>
      <c r="AG45" s="9" t="str">
        <f t="shared" si="33"/>
        <v>6150 Kennedy Rd</v>
      </c>
      <c r="AH45" s="56">
        <f t="shared" si="34"/>
        <v>9</v>
      </c>
    </row>
    <row r="46" spans="1:34" ht="16" x14ac:dyDescent="0.2">
      <c r="A46" s="9" t="s">
        <v>62</v>
      </c>
      <c r="B46" s="10">
        <v>37</v>
      </c>
      <c r="C46" s="15" t="s">
        <v>128</v>
      </c>
      <c r="D46" s="10">
        <v>2007</v>
      </c>
      <c r="E46" s="10">
        <v>16</v>
      </c>
      <c r="F46" s="18">
        <f>315/2103</f>
        <v>0.14978601997146934</v>
      </c>
      <c r="G46" s="19">
        <v>1.83</v>
      </c>
      <c r="H46" s="13">
        <v>2103</v>
      </c>
      <c r="I46" s="20">
        <f t="shared" si="19"/>
        <v>97</v>
      </c>
      <c r="J46" s="20">
        <v>70831</v>
      </c>
      <c r="K46" s="67">
        <f t="shared" si="16"/>
        <v>2.9690389801075801E-2</v>
      </c>
      <c r="L46" s="10">
        <v>1</v>
      </c>
      <c r="M46" s="22">
        <v>5.8</v>
      </c>
      <c r="N46" s="12">
        <v>11</v>
      </c>
      <c r="O46" s="12">
        <v>6.25</v>
      </c>
      <c r="P46" s="21">
        <f t="shared" si="20"/>
        <v>17.25</v>
      </c>
      <c r="Q46" s="64">
        <f t="shared" si="17"/>
        <v>36276.75</v>
      </c>
      <c r="R46" s="64"/>
      <c r="S46" s="10">
        <f t="shared" si="21"/>
        <v>2</v>
      </c>
      <c r="T46" s="10">
        <f t="shared" si="22"/>
        <v>44</v>
      </c>
      <c r="U46" s="10">
        <f t="shared" si="23"/>
        <v>113</v>
      </c>
      <c r="V46" s="10">
        <f t="shared" si="24"/>
        <v>23</v>
      </c>
      <c r="W46" s="10">
        <f t="shared" si="25"/>
        <v>38</v>
      </c>
      <c r="X46" s="10">
        <f t="shared" si="26"/>
        <v>48</v>
      </c>
      <c r="Y46" s="10">
        <f t="shared" si="27"/>
        <v>93</v>
      </c>
      <c r="Z46" s="10">
        <f t="shared" si="28"/>
        <v>1</v>
      </c>
      <c r="AA46" s="10">
        <f t="shared" si="29"/>
        <v>16</v>
      </c>
      <c r="AB46" s="22">
        <f t="shared" si="30"/>
        <v>45.480000000000004</v>
      </c>
      <c r="AC46" s="23">
        <f t="shared" si="31"/>
        <v>21</v>
      </c>
      <c r="AE46" s="55">
        <f t="shared" si="18"/>
        <v>41</v>
      </c>
      <c r="AF46" s="22">
        <f t="shared" si="32"/>
        <v>51.04</v>
      </c>
      <c r="AG46" s="9" t="str">
        <f t="shared" si="33"/>
        <v>3200 Ridgeway Dr</v>
      </c>
      <c r="AH46" s="56">
        <f t="shared" si="34"/>
        <v>3</v>
      </c>
    </row>
    <row r="47" spans="1:34" ht="16" x14ac:dyDescent="0.2">
      <c r="A47" s="9" t="s">
        <v>62</v>
      </c>
      <c r="B47" s="10">
        <v>10</v>
      </c>
      <c r="C47" s="15" t="s">
        <v>128</v>
      </c>
      <c r="D47" s="10">
        <v>2007</v>
      </c>
      <c r="E47" s="10">
        <v>16</v>
      </c>
      <c r="F47" s="18">
        <f>308/2051</f>
        <v>0.15017064846416384</v>
      </c>
      <c r="G47" s="19">
        <v>1.83</v>
      </c>
      <c r="H47" s="13">
        <v>2051</v>
      </c>
      <c r="I47" s="20">
        <f t="shared" si="19"/>
        <v>149</v>
      </c>
      <c r="J47" s="20">
        <v>70831</v>
      </c>
      <c r="K47" s="67">
        <f t="shared" si="16"/>
        <v>2.8956247970521383E-2</v>
      </c>
      <c r="L47" s="10">
        <v>1</v>
      </c>
      <c r="M47" s="22">
        <v>5.8</v>
      </c>
      <c r="N47" s="12">
        <v>11</v>
      </c>
      <c r="O47" s="12">
        <v>6.25</v>
      </c>
      <c r="P47" s="21">
        <f t="shared" si="20"/>
        <v>17.25</v>
      </c>
      <c r="Q47" s="64">
        <f t="shared" si="17"/>
        <v>35379.75</v>
      </c>
      <c r="R47" s="64"/>
      <c r="S47" s="10">
        <f t="shared" si="21"/>
        <v>2</v>
      </c>
      <c r="T47" s="10">
        <f t="shared" si="22"/>
        <v>44</v>
      </c>
      <c r="U47" s="10">
        <f t="shared" si="23"/>
        <v>94</v>
      </c>
      <c r="V47" s="10">
        <f t="shared" si="24"/>
        <v>23</v>
      </c>
      <c r="W47" s="10">
        <f t="shared" si="25"/>
        <v>38</v>
      </c>
      <c r="X47" s="10">
        <f t="shared" si="26"/>
        <v>48</v>
      </c>
      <c r="Y47" s="10">
        <f t="shared" si="27"/>
        <v>93</v>
      </c>
      <c r="Z47" s="10">
        <f t="shared" si="28"/>
        <v>1</v>
      </c>
      <c r="AA47" s="10">
        <f t="shared" si="29"/>
        <v>20</v>
      </c>
      <c r="AB47" s="22">
        <f t="shared" si="30"/>
        <v>43.980000000000004</v>
      </c>
      <c r="AC47" s="23">
        <f t="shared" si="31"/>
        <v>15</v>
      </c>
      <c r="AE47" s="55">
        <f t="shared" si="18"/>
        <v>42</v>
      </c>
      <c r="AF47" s="22">
        <f t="shared" si="32"/>
        <v>51.400000000000006</v>
      </c>
      <c r="AG47" s="9" t="str">
        <f t="shared" si="33"/>
        <v>3600A Laird Rd</v>
      </c>
      <c r="AH47" s="56">
        <f t="shared" si="34"/>
        <v>14</v>
      </c>
    </row>
    <row r="48" spans="1:34" ht="16" x14ac:dyDescent="0.2">
      <c r="A48" s="9" t="s">
        <v>62</v>
      </c>
      <c r="B48" s="10">
        <v>9</v>
      </c>
      <c r="C48" s="15" t="s">
        <v>128</v>
      </c>
      <c r="D48" s="10">
        <v>2007</v>
      </c>
      <c r="E48" s="10">
        <v>16</v>
      </c>
      <c r="F48" s="18">
        <f>308/2051</f>
        <v>0.15017064846416384</v>
      </c>
      <c r="G48" s="19">
        <v>1.83</v>
      </c>
      <c r="H48" s="13">
        <v>2051</v>
      </c>
      <c r="I48" s="20">
        <f t="shared" si="19"/>
        <v>149</v>
      </c>
      <c r="J48" s="20">
        <v>70831</v>
      </c>
      <c r="K48" s="67">
        <f t="shared" si="16"/>
        <v>2.8956247970521383E-2</v>
      </c>
      <c r="L48" s="10">
        <v>1</v>
      </c>
      <c r="M48" s="22">
        <v>5.8</v>
      </c>
      <c r="N48" s="12">
        <v>11</v>
      </c>
      <c r="O48" s="12">
        <v>6.25</v>
      </c>
      <c r="P48" s="21">
        <f t="shared" si="20"/>
        <v>17.25</v>
      </c>
      <c r="Q48" s="64">
        <f t="shared" si="17"/>
        <v>35379.75</v>
      </c>
      <c r="R48" s="64"/>
      <c r="S48" s="10">
        <f t="shared" si="21"/>
        <v>2</v>
      </c>
      <c r="T48" s="10">
        <f t="shared" si="22"/>
        <v>44</v>
      </c>
      <c r="U48" s="10">
        <f t="shared" si="23"/>
        <v>94</v>
      </c>
      <c r="V48" s="10">
        <f t="shared" si="24"/>
        <v>23</v>
      </c>
      <c r="W48" s="10">
        <f t="shared" si="25"/>
        <v>38</v>
      </c>
      <c r="X48" s="10">
        <f t="shared" si="26"/>
        <v>48</v>
      </c>
      <c r="Y48" s="10">
        <f t="shared" si="27"/>
        <v>93</v>
      </c>
      <c r="Z48" s="10">
        <f t="shared" si="28"/>
        <v>1</v>
      </c>
      <c r="AA48" s="10">
        <f t="shared" si="29"/>
        <v>20</v>
      </c>
      <c r="AB48" s="22">
        <f t="shared" si="30"/>
        <v>43.980000000000004</v>
      </c>
      <c r="AC48" s="23">
        <f t="shared" si="31"/>
        <v>15</v>
      </c>
      <c r="AE48" s="55">
        <f t="shared" si="18"/>
        <v>43</v>
      </c>
      <c r="AF48" s="22">
        <f t="shared" si="32"/>
        <v>51.42</v>
      </c>
      <c r="AG48" s="9" t="str">
        <f t="shared" si="33"/>
        <v>6660 Kennedy Rd</v>
      </c>
      <c r="AH48" s="56">
        <f t="shared" si="34"/>
        <v>5</v>
      </c>
    </row>
    <row r="49" spans="1:34" ht="16" x14ac:dyDescent="0.2">
      <c r="A49" s="9" t="s">
        <v>63</v>
      </c>
      <c r="B49" s="10">
        <v>1</v>
      </c>
      <c r="C49" s="15" t="s">
        <v>129</v>
      </c>
      <c r="D49" s="10">
        <v>1965</v>
      </c>
      <c r="E49" s="10">
        <v>16</v>
      </c>
      <c r="F49" s="18">
        <v>0.15</v>
      </c>
      <c r="G49" s="19">
        <v>1.91</v>
      </c>
      <c r="H49" s="13">
        <v>1986</v>
      </c>
      <c r="I49" s="20">
        <f t="shared" si="19"/>
        <v>214</v>
      </c>
      <c r="J49" s="20">
        <v>10500</v>
      </c>
      <c r="K49" s="67">
        <f t="shared" si="16"/>
        <v>0.18914285714285714</v>
      </c>
      <c r="L49" s="10">
        <v>3</v>
      </c>
      <c r="M49" s="22">
        <v>17.7</v>
      </c>
      <c r="N49" s="12">
        <v>11</v>
      </c>
      <c r="O49" s="12">
        <v>3.75</v>
      </c>
      <c r="P49" s="21">
        <f t="shared" si="20"/>
        <v>14.75</v>
      </c>
      <c r="Q49" s="64">
        <f t="shared" si="17"/>
        <v>29293.5</v>
      </c>
      <c r="R49" s="64"/>
      <c r="S49" s="10">
        <f t="shared" si="21"/>
        <v>123</v>
      </c>
      <c r="T49" s="10">
        <f t="shared" si="22"/>
        <v>44</v>
      </c>
      <c r="U49" s="10">
        <f t="shared" si="23"/>
        <v>96</v>
      </c>
      <c r="V49" s="10">
        <f t="shared" si="24"/>
        <v>18</v>
      </c>
      <c r="W49" s="10">
        <f t="shared" si="25"/>
        <v>116</v>
      </c>
      <c r="X49" s="10">
        <f t="shared" si="26"/>
        <v>48</v>
      </c>
      <c r="Y49" s="10">
        <f t="shared" si="27"/>
        <v>6</v>
      </c>
      <c r="Z49" s="10">
        <f t="shared" si="28"/>
        <v>72</v>
      </c>
      <c r="AA49" s="10">
        <f t="shared" si="29"/>
        <v>30</v>
      </c>
      <c r="AB49" s="22">
        <f t="shared" si="30"/>
        <v>54.7</v>
      </c>
      <c r="AC49" s="23">
        <f t="shared" si="31"/>
        <v>52</v>
      </c>
      <c r="AE49" s="55">
        <f t="shared" si="18"/>
        <v>44</v>
      </c>
      <c r="AF49" s="22">
        <f t="shared" si="32"/>
        <v>52.620000000000005</v>
      </c>
      <c r="AG49" s="9" t="str">
        <f t="shared" si="33"/>
        <v>6760 Davand Drive</v>
      </c>
      <c r="AH49" s="56">
        <f t="shared" si="34"/>
        <v>6</v>
      </c>
    </row>
    <row r="50" spans="1:34" ht="16" x14ac:dyDescent="0.2">
      <c r="A50" s="9" t="s">
        <v>64</v>
      </c>
      <c r="B50" s="10">
        <v>6</v>
      </c>
      <c r="C50" s="15" t="s">
        <v>130</v>
      </c>
      <c r="D50" s="10">
        <v>1981</v>
      </c>
      <c r="E50" s="10">
        <v>18</v>
      </c>
      <c r="F50" s="18">
        <f>800/3304</f>
        <v>0.24213075060532688</v>
      </c>
      <c r="G50" s="19">
        <v>1.96</v>
      </c>
      <c r="H50" s="13">
        <v>3304</v>
      </c>
      <c r="I50" s="20">
        <f t="shared" si="19"/>
        <v>1104</v>
      </c>
      <c r="J50" s="20">
        <v>81964</v>
      </c>
      <c r="K50" s="67">
        <f t="shared" si="16"/>
        <v>4.031038016690254E-2</v>
      </c>
      <c r="L50" s="10">
        <v>2</v>
      </c>
      <c r="M50" s="22">
        <v>10.199999999999999</v>
      </c>
      <c r="N50" s="12">
        <v>11.25</v>
      </c>
      <c r="O50" s="12">
        <v>5.0199999999999996</v>
      </c>
      <c r="P50" s="21">
        <f t="shared" si="20"/>
        <v>16.27</v>
      </c>
      <c r="Q50" s="64">
        <f t="shared" si="17"/>
        <v>53756.08</v>
      </c>
      <c r="R50" s="64"/>
      <c r="S50" s="10">
        <f t="shared" si="21"/>
        <v>54</v>
      </c>
      <c r="T50" s="10">
        <f t="shared" si="22"/>
        <v>17</v>
      </c>
      <c r="U50" s="10">
        <f t="shared" si="23"/>
        <v>63</v>
      </c>
      <c r="V50" s="10">
        <f t="shared" si="24"/>
        <v>15</v>
      </c>
      <c r="W50" s="10">
        <f t="shared" si="25"/>
        <v>77</v>
      </c>
      <c r="X50" s="10">
        <f t="shared" si="26"/>
        <v>53</v>
      </c>
      <c r="Y50" s="10">
        <f t="shared" si="27"/>
        <v>40</v>
      </c>
      <c r="Z50" s="10">
        <f t="shared" si="28"/>
        <v>15</v>
      </c>
      <c r="AA50" s="10">
        <f t="shared" si="29"/>
        <v>86</v>
      </c>
      <c r="AB50" s="22">
        <f t="shared" si="30"/>
        <v>46</v>
      </c>
      <c r="AC50" s="23">
        <f t="shared" si="31"/>
        <v>26</v>
      </c>
      <c r="AE50" s="55">
        <f t="shared" si="18"/>
        <v>45</v>
      </c>
      <c r="AF50" s="22">
        <f t="shared" si="32"/>
        <v>52.75</v>
      </c>
      <c r="AG50" s="9" t="str">
        <f t="shared" si="33"/>
        <v>2390 Cawthra Rd</v>
      </c>
      <c r="AH50" s="56">
        <f t="shared" si="34"/>
        <v>4</v>
      </c>
    </row>
    <row r="51" spans="1:34" ht="16" x14ac:dyDescent="0.2">
      <c r="A51" s="9" t="s">
        <v>65</v>
      </c>
      <c r="B51" s="10">
        <v>9</v>
      </c>
      <c r="C51" s="15" t="s">
        <v>121</v>
      </c>
      <c r="D51" s="10">
        <v>1974</v>
      </c>
      <c r="E51" s="10">
        <v>16</v>
      </c>
      <c r="F51" s="18">
        <v>0.2</v>
      </c>
      <c r="G51" s="19">
        <v>0.73</v>
      </c>
      <c r="H51" s="13">
        <v>2153</v>
      </c>
      <c r="I51" s="20">
        <f t="shared" si="19"/>
        <v>47</v>
      </c>
      <c r="J51" s="20">
        <v>44089</v>
      </c>
      <c r="K51" s="67">
        <f t="shared" si="16"/>
        <v>4.8833042255437865E-2</v>
      </c>
      <c r="L51" s="10">
        <v>3</v>
      </c>
      <c r="M51" s="22">
        <v>3.1</v>
      </c>
      <c r="N51" s="12">
        <v>11.5</v>
      </c>
      <c r="O51" s="12">
        <v>5.05</v>
      </c>
      <c r="P51" s="21">
        <f t="shared" si="20"/>
        <v>16.55</v>
      </c>
      <c r="Q51" s="64">
        <f t="shared" si="17"/>
        <v>35632.15</v>
      </c>
      <c r="R51" s="64"/>
      <c r="S51" s="10">
        <f t="shared" si="21"/>
        <v>95</v>
      </c>
      <c r="T51" s="10">
        <f t="shared" si="22"/>
        <v>44</v>
      </c>
      <c r="U51" s="10">
        <f t="shared" si="23"/>
        <v>73</v>
      </c>
      <c r="V51" s="10">
        <f t="shared" si="24"/>
        <v>113</v>
      </c>
      <c r="W51" s="10">
        <f t="shared" si="25"/>
        <v>11</v>
      </c>
      <c r="X51" s="10">
        <f t="shared" si="26"/>
        <v>54</v>
      </c>
      <c r="Y51" s="10">
        <f t="shared" si="27"/>
        <v>48</v>
      </c>
      <c r="Z51" s="10">
        <f t="shared" si="28"/>
        <v>72</v>
      </c>
      <c r="AA51" s="10">
        <f t="shared" si="29"/>
        <v>4</v>
      </c>
      <c r="AB51" s="22">
        <f t="shared" si="30"/>
        <v>58.15</v>
      </c>
      <c r="AC51" s="23">
        <f t="shared" si="31"/>
        <v>63</v>
      </c>
      <c r="AE51" s="55">
        <f t="shared" si="18"/>
        <v>46</v>
      </c>
      <c r="AF51" s="22">
        <f t="shared" si="32"/>
        <v>53.129999999999995</v>
      </c>
      <c r="AG51" s="9" t="str">
        <f t="shared" si="33"/>
        <v>1535 Meyerside Drive</v>
      </c>
      <c r="AH51" s="56">
        <f t="shared" si="34"/>
        <v>5</v>
      </c>
    </row>
    <row r="52" spans="1:34" ht="16" x14ac:dyDescent="0.2">
      <c r="A52" s="9" t="s">
        <v>66</v>
      </c>
      <c r="B52" s="10">
        <v>7</v>
      </c>
      <c r="C52" s="15" t="s">
        <v>121</v>
      </c>
      <c r="D52" s="10">
        <v>1974</v>
      </c>
      <c r="E52" s="10">
        <v>16</v>
      </c>
      <c r="F52" s="18">
        <v>0.2</v>
      </c>
      <c r="G52" s="19">
        <v>0.73</v>
      </c>
      <c r="H52" s="13">
        <v>3389</v>
      </c>
      <c r="I52" s="20">
        <f t="shared" si="19"/>
        <v>1189</v>
      </c>
      <c r="J52" s="20">
        <v>27307</v>
      </c>
      <c r="K52" s="67">
        <f t="shared" si="16"/>
        <v>0.12410737173618486</v>
      </c>
      <c r="L52" s="10">
        <v>3</v>
      </c>
      <c r="M52" s="22">
        <v>3.1</v>
      </c>
      <c r="N52" s="12">
        <v>11.5</v>
      </c>
      <c r="O52" s="12">
        <v>5.21</v>
      </c>
      <c r="P52" s="21">
        <f t="shared" si="20"/>
        <v>16.71</v>
      </c>
      <c r="Q52" s="64">
        <f t="shared" si="17"/>
        <v>56630.19</v>
      </c>
      <c r="R52" s="64"/>
      <c r="S52" s="10">
        <f t="shared" si="21"/>
        <v>95</v>
      </c>
      <c r="T52" s="10">
        <f t="shared" si="22"/>
        <v>44</v>
      </c>
      <c r="U52" s="10">
        <f t="shared" si="23"/>
        <v>73</v>
      </c>
      <c r="V52" s="10">
        <f t="shared" si="24"/>
        <v>113</v>
      </c>
      <c r="W52" s="10">
        <f t="shared" si="25"/>
        <v>11</v>
      </c>
      <c r="X52" s="10">
        <f t="shared" si="26"/>
        <v>54</v>
      </c>
      <c r="Y52" s="10">
        <f t="shared" si="27"/>
        <v>57</v>
      </c>
      <c r="Z52" s="10">
        <f t="shared" si="28"/>
        <v>72</v>
      </c>
      <c r="AA52" s="10">
        <f t="shared" si="29"/>
        <v>93</v>
      </c>
      <c r="AB52" s="22">
        <f t="shared" si="30"/>
        <v>68.31</v>
      </c>
      <c r="AC52" s="23">
        <f t="shared" si="31"/>
        <v>101</v>
      </c>
      <c r="AE52" s="55">
        <f t="shared" si="18"/>
        <v>47</v>
      </c>
      <c r="AF52" s="22">
        <f t="shared" si="32"/>
        <v>53.21</v>
      </c>
      <c r="AG52" s="9" t="str">
        <f t="shared" si="33"/>
        <v>2585 Drew Road</v>
      </c>
      <c r="AH52" s="56">
        <f t="shared" si="34"/>
        <v>5</v>
      </c>
    </row>
    <row r="53" spans="1:34" ht="16" x14ac:dyDescent="0.2">
      <c r="A53" s="9" t="s">
        <v>65</v>
      </c>
      <c r="B53" s="10">
        <v>8</v>
      </c>
      <c r="C53" s="15" t="s">
        <v>121</v>
      </c>
      <c r="D53" s="10">
        <v>1974</v>
      </c>
      <c r="E53" s="10">
        <v>16</v>
      </c>
      <c r="F53" s="18">
        <v>0.25</v>
      </c>
      <c r="G53" s="19">
        <v>0.73</v>
      </c>
      <c r="H53" s="13">
        <v>1897</v>
      </c>
      <c r="I53" s="20">
        <f t="shared" si="19"/>
        <v>303</v>
      </c>
      <c r="J53" s="20">
        <v>27307</v>
      </c>
      <c r="K53" s="67">
        <f t="shared" si="16"/>
        <v>6.9469366829018206E-2</v>
      </c>
      <c r="L53" s="10">
        <v>3</v>
      </c>
      <c r="M53" s="22">
        <v>3.1</v>
      </c>
      <c r="N53" s="12">
        <v>11.5</v>
      </c>
      <c r="O53" s="12">
        <v>5.21</v>
      </c>
      <c r="P53" s="21">
        <f t="shared" si="20"/>
        <v>16.71</v>
      </c>
      <c r="Q53" s="64">
        <f t="shared" si="17"/>
        <v>31698.870000000003</v>
      </c>
      <c r="R53" s="64"/>
      <c r="S53" s="10">
        <f t="shared" si="21"/>
        <v>95</v>
      </c>
      <c r="T53" s="10">
        <f t="shared" si="22"/>
        <v>44</v>
      </c>
      <c r="U53" s="10">
        <f t="shared" si="23"/>
        <v>40</v>
      </c>
      <c r="V53" s="10">
        <f t="shared" si="24"/>
        <v>113</v>
      </c>
      <c r="W53" s="10">
        <f t="shared" si="25"/>
        <v>11</v>
      </c>
      <c r="X53" s="10">
        <f t="shared" si="26"/>
        <v>54</v>
      </c>
      <c r="Y53" s="10">
        <f t="shared" si="27"/>
        <v>57</v>
      </c>
      <c r="Z53" s="10">
        <f t="shared" si="28"/>
        <v>72</v>
      </c>
      <c r="AA53" s="10">
        <f t="shared" si="29"/>
        <v>37</v>
      </c>
      <c r="AB53" s="22">
        <f t="shared" si="30"/>
        <v>59.410000000000004</v>
      </c>
      <c r="AC53" s="23">
        <f t="shared" si="31"/>
        <v>70</v>
      </c>
      <c r="AE53" s="55">
        <f t="shared" si="18"/>
        <v>48</v>
      </c>
      <c r="AF53" s="22">
        <f t="shared" si="32"/>
        <v>53.22</v>
      </c>
      <c r="AG53" s="9" t="str">
        <f t="shared" si="33"/>
        <v>3490 Laird Rd</v>
      </c>
      <c r="AH53" s="56">
        <f t="shared" si="34"/>
        <v>3</v>
      </c>
    </row>
    <row r="54" spans="1:34" ht="16" x14ac:dyDescent="0.2">
      <c r="A54" s="9" t="s">
        <v>67</v>
      </c>
      <c r="B54" s="10">
        <v>8</v>
      </c>
      <c r="C54" s="15" t="s">
        <v>131</v>
      </c>
      <c r="D54" s="10">
        <v>1989</v>
      </c>
      <c r="E54" s="10">
        <v>14</v>
      </c>
      <c r="F54" s="18">
        <f>1533/2643</f>
        <v>0.58002270147559587</v>
      </c>
      <c r="G54" s="19">
        <v>1.23</v>
      </c>
      <c r="H54" s="13">
        <v>2643</v>
      </c>
      <c r="I54" s="20">
        <f t="shared" si="19"/>
        <v>443</v>
      </c>
      <c r="J54" s="20">
        <v>35048</v>
      </c>
      <c r="K54" s="67">
        <f t="shared" si="16"/>
        <v>7.5410865099292401E-2</v>
      </c>
      <c r="L54" s="10">
        <v>2</v>
      </c>
      <c r="M54" s="22">
        <v>4.7</v>
      </c>
      <c r="N54" s="12">
        <v>11.95</v>
      </c>
      <c r="O54" s="12">
        <v>6.76</v>
      </c>
      <c r="P54" s="21">
        <f t="shared" si="20"/>
        <v>18.71</v>
      </c>
      <c r="Q54" s="64">
        <f t="shared" si="17"/>
        <v>49450.53</v>
      </c>
      <c r="R54" s="64"/>
      <c r="S54" s="10">
        <f t="shared" si="21"/>
        <v>32</v>
      </c>
      <c r="T54" s="10">
        <f t="shared" si="22"/>
        <v>68</v>
      </c>
      <c r="U54" s="10">
        <f t="shared" si="23"/>
        <v>10</v>
      </c>
      <c r="V54" s="10">
        <f t="shared" si="24"/>
        <v>83</v>
      </c>
      <c r="W54" s="10">
        <f t="shared" si="25"/>
        <v>32</v>
      </c>
      <c r="X54" s="10">
        <f t="shared" si="26"/>
        <v>58</v>
      </c>
      <c r="Y54" s="10">
        <f t="shared" si="27"/>
        <v>116</v>
      </c>
      <c r="Z54" s="10">
        <f t="shared" si="28"/>
        <v>15</v>
      </c>
      <c r="AA54" s="10">
        <f t="shared" si="29"/>
        <v>44</v>
      </c>
      <c r="AB54" s="22">
        <f t="shared" si="30"/>
        <v>56.98</v>
      </c>
      <c r="AC54" s="23">
        <f t="shared" si="31"/>
        <v>62</v>
      </c>
      <c r="AE54" s="55">
        <f t="shared" si="18"/>
        <v>49</v>
      </c>
      <c r="AF54" s="22">
        <f t="shared" si="32"/>
        <v>53.31</v>
      </c>
      <c r="AG54" s="9" t="str">
        <f t="shared" si="33"/>
        <v>2645 Skymark Avenue</v>
      </c>
      <c r="AH54" s="56" t="str">
        <f t="shared" si="34"/>
        <v>201A</v>
      </c>
    </row>
    <row r="55" spans="1:34" ht="16" x14ac:dyDescent="0.2">
      <c r="A55" s="9" t="s">
        <v>68</v>
      </c>
      <c r="B55" s="10">
        <v>10</v>
      </c>
      <c r="C55" s="15" t="s">
        <v>132</v>
      </c>
      <c r="D55" s="10">
        <v>1973</v>
      </c>
      <c r="E55" s="10">
        <v>14</v>
      </c>
      <c r="F55" s="18">
        <f>300/2424</f>
        <v>0.12376237623762376</v>
      </c>
      <c r="G55" s="19">
        <v>0.43</v>
      </c>
      <c r="H55" s="13">
        <v>2424</v>
      </c>
      <c r="I55" s="20">
        <f t="shared" si="19"/>
        <v>224</v>
      </c>
      <c r="J55" s="20">
        <v>45973</v>
      </c>
      <c r="K55" s="67">
        <f t="shared" si="16"/>
        <v>5.2726600395884539E-2</v>
      </c>
      <c r="L55" s="10">
        <v>3</v>
      </c>
      <c r="M55" s="22">
        <v>8.1999999999999993</v>
      </c>
      <c r="N55" s="12">
        <v>11.95</v>
      </c>
      <c r="O55" s="12">
        <v>4.9800000000000004</v>
      </c>
      <c r="P55" s="21">
        <f t="shared" si="20"/>
        <v>16.93</v>
      </c>
      <c r="Q55" s="64">
        <f t="shared" si="17"/>
        <v>41038.32</v>
      </c>
      <c r="R55" s="64"/>
      <c r="S55" s="10">
        <f t="shared" si="21"/>
        <v>115</v>
      </c>
      <c r="T55" s="10">
        <f t="shared" si="22"/>
        <v>68</v>
      </c>
      <c r="U55" s="10">
        <f t="shared" si="23"/>
        <v>115</v>
      </c>
      <c r="V55" s="10">
        <f t="shared" si="24"/>
        <v>122</v>
      </c>
      <c r="W55" s="10">
        <f t="shared" si="25"/>
        <v>71</v>
      </c>
      <c r="X55" s="10">
        <f t="shared" si="26"/>
        <v>58</v>
      </c>
      <c r="Y55" s="10">
        <f t="shared" si="27"/>
        <v>36</v>
      </c>
      <c r="Z55" s="10">
        <f t="shared" si="28"/>
        <v>72</v>
      </c>
      <c r="AA55" s="10">
        <f t="shared" si="29"/>
        <v>32</v>
      </c>
      <c r="AB55" s="22">
        <f t="shared" si="30"/>
        <v>75.460000000000008</v>
      </c>
      <c r="AC55" s="23">
        <f t="shared" si="31"/>
        <v>115</v>
      </c>
      <c r="AE55" s="55">
        <f t="shared" si="18"/>
        <v>50</v>
      </c>
      <c r="AF55" s="22">
        <f t="shared" si="32"/>
        <v>53.34</v>
      </c>
      <c r="AG55" s="9" t="str">
        <f t="shared" si="33"/>
        <v>6275 Northam Drive</v>
      </c>
      <c r="AH55" s="56" t="str">
        <f t="shared" si="34"/>
        <v>2B</v>
      </c>
    </row>
    <row r="56" spans="1:34" ht="32" x14ac:dyDescent="0.2">
      <c r="A56" s="9" t="s">
        <v>69</v>
      </c>
      <c r="B56" s="10">
        <v>7</v>
      </c>
      <c r="C56" s="15" t="s">
        <v>133</v>
      </c>
      <c r="D56" s="10">
        <v>1977</v>
      </c>
      <c r="E56" s="10">
        <v>18</v>
      </c>
      <c r="F56" s="18">
        <v>0.15</v>
      </c>
      <c r="G56" s="19">
        <v>1.1200000000000001</v>
      </c>
      <c r="H56" s="13">
        <v>2030</v>
      </c>
      <c r="I56" s="20">
        <f t="shared" si="19"/>
        <v>170</v>
      </c>
      <c r="J56" s="20">
        <v>88903</v>
      </c>
      <c r="K56" s="67">
        <f t="shared" si="16"/>
        <v>2.2833875122324331E-2</v>
      </c>
      <c r="L56" s="10">
        <v>3</v>
      </c>
      <c r="M56" s="22">
        <v>5.2</v>
      </c>
      <c r="N56" s="12">
        <v>11.95</v>
      </c>
      <c r="O56" s="12">
        <v>4.75</v>
      </c>
      <c r="P56" s="21">
        <f t="shared" si="20"/>
        <v>16.7</v>
      </c>
      <c r="Q56" s="64">
        <f t="shared" si="17"/>
        <v>33901</v>
      </c>
      <c r="R56" s="64"/>
      <c r="S56" s="10">
        <f t="shared" si="21"/>
        <v>90</v>
      </c>
      <c r="T56" s="10">
        <f t="shared" si="22"/>
        <v>17</v>
      </c>
      <c r="U56" s="10">
        <f t="shared" si="23"/>
        <v>96</v>
      </c>
      <c r="V56" s="10">
        <f t="shared" si="24"/>
        <v>96</v>
      </c>
      <c r="W56" s="10">
        <f t="shared" si="25"/>
        <v>34</v>
      </c>
      <c r="X56" s="10">
        <f t="shared" si="26"/>
        <v>58</v>
      </c>
      <c r="Y56" s="10">
        <f t="shared" si="27"/>
        <v>25</v>
      </c>
      <c r="Z56" s="10">
        <f t="shared" si="28"/>
        <v>72</v>
      </c>
      <c r="AA56" s="10">
        <f t="shared" si="29"/>
        <v>25</v>
      </c>
      <c r="AB56" s="22">
        <f t="shared" si="30"/>
        <v>56.62</v>
      </c>
      <c r="AC56" s="23">
        <f t="shared" si="31"/>
        <v>58</v>
      </c>
      <c r="AE56" s="55">
        <f t="shared" si="18"/>
        <v>51</v>
      </c>
      <c r="AF56" s="22">
        <f t="shared" si="32"/>
        <v>54.32</v>
      </c>
      <c r="AG56" s="9" t="str">
        <f t="shared" si="33"/>
        <v>6315 Shawson Dr</v>
      </c>
      <c r="AH56" s="56" t="str">
        <f t="shared" si="34"/>
        <v>11-12</v>
      </c>
    </row>
    <row r="57" spans="1:34" ht="16" x14ac:dyDescent="0.2">
      <c r="A57" s="9" t="s">
        <v>70</v>
      </c>
      <c r="B57" s="11" t="s">
        <v>45</v>
      </c>
      <c r="C57" s="15" t="s">
        <v>134</v>
      </c>
      <c r="D57" s="10">
        <v>1983</v>
      </c>
      <c r="E57" s="10">
        <v>16.100000000000001</v>
      </c>
      <c r="F57" s="18">
        <v>0.2</v>
      </c>
      <c r="G57" s="19">
        <v>1.47</v>
      </c>
      <c r="H57" s="13">
        <v>5000</v>
      </c>
      <c r="I57" s="20">
        <f t="shared" si="19"/>
        <v>2800</v>
      </c>
      <c r="J57" s="20">
        <v>40700</v>
      </c>
      <c r="K57" s="67">
        <f t="shared" si="16"/>
        <v>0.12285012285012285</v>
      </c>
      <c r="L57" s="10">
        <v>2</v>
      </c>
      <c r="M57" s="22">
        <v>4.5999999999999996</v>
      </c>
      <c r="N57" s="12">
        <v>12</v>
      </c>
      <c r="O57" s="12">
        <v>3.75</v>
      </c>
      <c r="P57" s="21">
        <f t="shared" si="20"/>
        <v>15.75</v>
      </c>
      <c r="Q57" s="64">
        <f t="shared" si="17"/>
        <v>78750</v>
      </c>
      <c r="R57" s="64"/>
      <c r="S57" s="10">
        <f t="shared" si="21"/>
        <v>48</v>
      </c>
      <c r="T57" s="10">
        <f t="shared" si="22"/>
        <v>41</v>
      </c>
      <c r="U57" s="10">
        <f t="shared" si="23"/>
        <v>73</v>
      </c>
      <c r="V57" s="10">
        <f t="shared" si="24"/>
        <v>52</v>
      </c>
      <c r="W57" s="10">
        <f t="shared" si="25"/>
        <v>31</v>
      </c>
      <c r="X57" s="10">
        <f t="shared" si="26"/>
        <v>62</v>
      </c>
      <c r="Y57" s="10">
        <f t="shared" si="27"/>
        <v>6</v>
      </c>
      <c r="Z57" s="10">
        <f t="shared" si="28"/>
        <v>15</v>
      </c>
      <c r="AA57" s="10">
        <f t="shared" si="29"/>
        <v>123</v>
      </c>
      <c r="AB57" s="22">
        <f t="shared" si="30"/>
        <v>50.25</v>
      </c>
      <c r="AC57" s="23">
        <f t="shared" si="31"/>
        <v>37</v>
      </c>
      <c r="AE57" s="55">
        <f t="shared" si="18"/>
        <v>52</v>
      </c>
      <c r="AF57" s="22">
        <f t="shared" si="32"/>
        <v>54.7</v>
      </c>
      <c r="AG57" s="9" t="str">
        <f t="shared" si="33"/>
        <v>1578 Finfar Crt</v>
      </c>
      <c r="AH57" s="56">
        <f t="shared" si="34"/>
        <v>1</v>
      </c>
    </row>
    <row r="58" spans="1:34" ht="16" x14ac:dyDescent="0.2">
      <c r="A58" s="9" t="s">
        <v>71</v>
      </c>
      <c r="B58" s="10">
        <v>11</v>
      </c>
      <c r="C58" s="15" t="s">
        <v>135</v>
      </c>
      <c r="D58" s="10">
        <v>1987</v>
      </c>
      <c r="E58" s="10">
        <v>16</v>
      </c>
      <c r="F58" s="18">
        <v>0.15</v>
      </c>
      <c r="G58" s="19">
        <v>1.9</v>
      </c>
      <c r="H58" s="13">
        <v>1958</v>
      </c>
      <c r="I58" s="20">
        <f t="shared" si="19"/>
        <v>242</v>
      </c>
      <c r="J58" s="20">
        <v>56784</v>
      </c>
      <c r="K58" s="67">
        <f t="shared" si="16"/>
        <v>3.4481544096928711E-2</v>
      </c>
      <c r="L58" s="10">
        <v>2</v>
      </c>
      <c r="M58" s="22">
        <v>9.8000000000000007</v>
      </c>
      <c r="N58" s="12">
        <v>12</v>
      </c>
      <c r="O58" s="12">
        <v>4.93</v>
      </c>
      <c r="P58" s="21">
        <f t="shared" si="20"/>
        <v>16.93</v>
      </c>
      <c r="Q58" s="64">
        <f t="shared" si="17"/>
        <v>33148.94</v>
      </c>
      <c r="R58" s="64"/>
      <c r="S58" s="10">
        <f t="shared" si="21"/>
        <v>37</v>
      </c>
      <c r="T58" s="10">
        <f t="shared" si="22"/>
        <v>44</v>
      </c>
      <c r="U58" s="10">
        <f t="shared" si="23"/>
        <v>96</v>
      </c>
      <c r="V58" s="10">
        <f t="shared" si="24"/>
        <v>19</v>
      </c>
      <c r="W58" s="10">
        <f t="shared" si="25"/>
        <v>75</v>
      </c>
      <c r="X58" s="10">
        <f t="shared" si="26"/>
        <v>62</v>
      </c>
      <c r="Y58" s="10">
        <f t="shared" si="27"/>
        <v>32</v>
      </c>
      <c r="Z58" s="10">
        <f t="shared" si="28"/>
        <v>15</v>
      </c>
      <c r="AA58" s="10">
        <f t="shared" si="29"/>
        <v>33</v>
      </c>
      <c r="AB58" s="22">
        <f t="shared" si="30"/>
        <v>46.06</v>
      </c>
      <c r="AC58" s="23">
        <f t="shared" si="31"/>
        <v>27</v>
      </c>
      <c r="AE58" s="55">
        <f t="shared" si="18"/>
        <v>53</v>
      </c>
      <c r="AF58" s="22">
        <f t="shared" si="32"/>
        <v>55.1</v>
      </c>
      <c r="AG58" s="9" t="str">
        <f t="shared" si="33"/>
        <v>4060 Ridgeway Dr</v>
      </c>
      <c r="AH58" s="56">
        <f t="shared" si="34"/>
        <v>4</v>
      </c>
    </row>
    <row r="59" spans="1:34" ht="16" x14ac:dyDescent="0.2">
      <c r="A59" s="9" t="s">
        <v>72</v>
      </c>
      <c r="B59" s="10">
        <v>24</v>
      </c>
      <c r="C59" s="15" t="s">
        <v>136</v>
      </c>
      <c r="D59" s="10">
        <v>1983</v>
      </c>
      <c r="E59" s="10">
        <v>20</v>
      </c>
      <c r="F59" s="18">
        <v>1</v>
      </c>
      <c r="G59" s="19">
        <v>10</v>
      </c>
      <c r="H59" s="13">
        <v>2192</v>
      </c>
      <c r="I59" s="20">
        <f t="shared" si="19"/>
        <v>8</v>
      </c>
      <c r="J59" s="20">
        <v>24634</v>
      </c>
      <c r="K59" s="67">
        <f t="shared" si="16"/>
        <v>8.8982706827961361E-2</v>
      </c>
      <c r="L59" s="10">
        <v>2</v>
      </c>
      <c r="M59" s="22">
        <v>2</v>
      </c>
      <c r="N59" s="12">
        <v>12</v>
      </c>
      <c r="O59" s="12">
        <v>9.77</v>
      </c>
      <c r="P59" s="21">
        <f t="shared" si="20"/>
        <v>21.77</v>
      </c>
      <c r="Q59" s="64">
        <f t="shared" si="17"/>
        <v>47719.839999999997</v>
      </c>
      <c r="R59" s="64"/>
      <c r="S59" s="10">
        <f t="shared" si="21"/>
        <v>48</v>
      </c>
      <c r="T59" s="10">
        <f t="shared" si="22"/>
        <v>12</v>
      </c>
      <c r="U59" s="10">
        <f t="shared" si="23"/>
        <v>1</v>
      </c>
      <c r="V59" s="10">
        <f t="shared" si="24"/>
        <v>1</v>
      </c>
      <c r="W59" s="10">
        <f t="shared" si="25"/>
        <v>5</v>
      </c>
      <c r="X59" s="10">
        <f t="shared" si="26"/>
        <v>62</v>
      </c>
      <c r="Y59" s="10">
        <f t="shared" si="27"/>
        <v>123</v>
      </c>
      <c r="Z59" s="10">
        <f t="shared" si="28"/>
        <v>15</v>
      </c>
      <c r="AA59" s="10">
        <f t="shared" si="29"/>
        <v>2</v>
      </c>
      <c r="AB59" s="22">
        <f t="shared" si="30"/>
        <v>34.180000000000007</v>
      </c>
      <c r="AC59" s="23">
        <f t="shared" si="31"/>
        <v>1</v>
      </c>
      <c r="AE59" s="55">
        <f t="shared" si="18"/>
        <v>54</v>
      </c>
      <c r="AF59" s="22">
        <f t="shared" si="32"/>
        <v>55.870000000000005</v>
      </c>
      <c r="AG59" s="9" t="str">
        <f t="shared" si="33"/>
        <v>3750 Laird Road</v>
      </c>
      <c r="AH59" s="56">
        <f t="shared" si="34"/>
        <v>14</v>
      </c>
    </row>
    <row r="60" spans="1:34" ht="16" x14ac:dyDescent="0.2">
      <c r="A60" s="9" t="s">
        <v>73</v>
      </c>
      <c r="B60" s="11" t="s">
        <v>74</v>
      </c>
      <c r="C60" s="15" t="s">
        <v>137</v>
      </c>
      <c r="D60" s="10">
        <v>1990</v>
      </c>
      <c r="E60" s="10">
        <v>17.2</v>
      </c>
      <c r="F60" s="18">
        <v>0.35</v>
      </c>
      <c r="G60" s="19">
        <v>1.65</v>
      </c>
      <c r="H60" s="13">
        <v>3993</v>
      </c>
      <c r="I60" s="20">
        <f t="shared" si="19"/>
        <v>1793</v>
      </c>
      <c r="J60" s="20">
        <v>65563</v>
      </c>
      <c r="K60" s="67">
        <f t="shared" si="16"/>
        <v>6.0903253359364279E-2</v>
      </c>
      <c r="L60" s="10">
        <v>2</v>
      </c>
      <c r="M60" s="22">
        <v>18.899999999999999</v>
      </c>
      <c r="N60" s="12">
        <v>12</v>
      </c>
      <c r="O60" s="12">
        <v>5.88</v>
      </c>
      <c r="P60" s="21">
        <f t="shared" si="20"/>
        <v>17.88</v>
      </c>
      <c r="Q60" s="64">
        <f t="shared" si="17"/>
        <v>71394.84</v>
      </c>
      <c r="R60" s="64"/>
      <c r="S60" s="10">
        <f t="shared" si="21"/>
        <v>20</v>
      </c>
      <c r="T60" s="10">
        <f t="shared" si="22"/>
        <v>36</v>
      </c>
      <c r="U60" s="10">
        <f t="shared" si="23"/>
        <v>26</v>
      </c>
      <c r="V60" s="10">
        <f t="shared" si="24"/>
        <v>40</v>
      </c>
      <c r="W60" s="10">
        <f t="shared" si="25"/>
        <v>118</v>
      </c>
      <c r="X60" s="10">
        <f t="shared" si="26"/>
        <v>62</v>
      </c>
      <c r="Y60" s="10">
        <f t="shared" si="27"/>
        <v>86</v>
      </c>
      <c r="Z60" s="10">
        <f t="shared" si="28"/>
        <v>15</v>
      </c>
      <c r="AA60" s="10">
        <f t="shared" si="29"/>
        <v>104</v>
      </c>
      <c r="AB60" s="22">
        <f t="shared" si="30"/>
        <v>59.01</v>
      </c>
      <c r="AC60" s="23">
        <f t="shared" si="31"/>
        <v>65</v>
      </c>
      <c r="AE60" s="55">
        <f t="shared" si="18"/>
        <v>55</v>
      </c>
      <c r="AF60" s="22">
        <f t="shared" si="32"/>
        <v>55.889999999999993</v>
      </c>
      <c r="AG60" s="9" t="str">
        <f t="shared" si="33"/>
        <v>7270 Torbram Rd</v>
      </c>
      <c r="AH60" s="56">
        <f t="shared" si="34"/>
        <v>5</v>
      </c>
    </row>
    <row r="61" spans="1:34" ht="32" x14ac:dyDescent="0.2">
      <c r="A61" s="9" t="s">
        <v>75</v>
      </c>
      <c r="B61" s="11" t="s">
        <v>47</v>
      </c>
      <c r="C61" s="15" t="s">
        <v>138</v>
      </c>
      <c r="D61" s="10">
        <v>1980</v>
      </c>
      <c r="E61" s="10">
        <v>18</v>
      </c>
      <c r="F61" s="18">
        <v>0.1</v>
      </c>
      <c r="G61" s="19">
        <v>2.0499999999999998</v>
      </c>
      <c r="H61" s="13">
        <v>4120</v>
      </c>
      <c r="I61" s="20">
        <f t="shared" si="19"/>
        <v>1920</v>
      </c>
      <c r="J61" s="20">
        <v>36901</v>
      </c>
      <c r="K61" s="67">
        <f t="shared" si="16"/>
        <v>0.11165009078344761</v>
      </c>
      <c r="L61" s="10">
        <v>2</v>
      </c>
      <c r="M61" s="22">
        <v>4.9000000000000004</v>
      </c>
      <c r="N61" s="12">
        <v>12</v>
      </c>
      <c r="O61" s="12">
        <v>5.4</v>
      </c>
      <c r="P61" s="21">
        <f t="shared" si="20"/>
        <v>17.399999999999999</v>
      </c>
      <c r="Q61" s="64">
        <f t="shared" si="17"/>
        <v>71688</v>
      </c>
      <c r="R61" s="64"/>
      <c r="S61" s="10">
        <f t="shared" si="21"/>
        <v>58</v>
      </c>
      <c r="T61" s="10">
        <f t="shared" si="22"/>
        <v>17</v>
      </c>
      <c r="U61" s="10">
        <f t="shared" si="23"/>
        <v>118</v>
      </c>
      <c r="V61" s="10">
        <f t="shared" si="24"/>
        <v>11</v>
      </c>
      <c r="W61" s="10">
        <f t="shared" si="25"/>
        <v>33</v>
      </c>
      <c r="X61" s="10">
        <f t="shared" si="26"/>
        <v>62</v>
      </c>
      <c r="Y61" s="10">
        <f t="shared" si="27"/>
        <v>69</v>
      </c>
      <c r="Z61" s="10">
        <f t="shared" si="28"/>
        <v>15</v>
      </c>
      <c r="AA61" s="10">
        <f t="shared" si="29"/>
        <v>106</v>
      </c>
      <c r="AB61" s="22">
        <f t="shared" si="30"/>
        <v>54.32</v>
      </c>
      <c r="AC61" s="23">
        <f t="shared" si="31"/>
        <v>51</v>
      </c>
      <c r="AE61" s="55">
        <f t="shared" si="18"/>
        <v>56</v>
      </c>
      <c r="AF61" s="22">
        <f t="shared" si="32"/>
        <v>56.28</v>
      </c>
      <c r="AG61" s="9" t="str">
        <f t="shared" si="33"/>
        <v>111 Topflight Drive</v>
      </c>
      <c r="AH61" s="56">
        <f t="shared" si="34"/>
        <v>200</v>
      </c>
    </row>
    <row r="62" spans="1:34" ht="32" x14ac:dyDescent="0.2">
      <c r="A62" s="9" t="s">
        <v>76</v>
      </c>
      <c r="B62" s="10">
        <v>5</v>
      </c>
      <c r="C62" s="15" t="s">
        <v>138</v>
      </c>
      <c r="D62" s="26">
        <v>1980</v>
      </c>
      <c r="E62" s="10">
        <v>18</v>
      </c>
      <c r="F62" s="18">
        <v>0.2</v>
      </c>
      <c r="G62" s="19">
        <v>1.89</v>
      </c>
      <c r="H62" s="13">
        <v>2454</v>
      </c>
      <c r="I62" s="20">
        <f t="shared" si="19"/>
        <v>254</v>
      </c>
      <c r="J62" s="20">
        <v>22842</v>
      </c>
      <c r="K62" s="67">
        <f t="shared" si="16"/>
        <v>0.10743367480956133</v>
      </c>
      <c r="L62" s="10">
        <v>2</v>
      </c>
      <c r="M62" s="22">
        <v>4.5</v>
      </c>
      <c r="N62" s="12">
        <v>12</v>
      </c>
      <c r="O62" s="12">
        <v>5.4</v>
      </c>
      <c r="P62" s="21">
        <f t="shared" si="20"/>
        <v>17.399999999999999</v>
      </c>
      <c r="Q62" s="64">
        <f t="shared" si="17"/>
        <v>42699.6</v>
      </c>
      <c r="R62" s="64"/>
      <c r="S62" s="10">
        <f t="shared" si="21"/>
        <v>58</v>
      </c>
      <c r="T62" s="10">
        <f t="shared" si="22"/>
        <v>17</v>
      </c>
      <c r="U62" s="10">
        <f t="shared" si="23"/>
        <v>73</v>
      </c>
      <c r="V62" s="10">
        <f t="shared" si="24"/>
        <v>20</v>
      </c>
      <c r="W62" s="10">
        <f t="shared" si="25"/>
        <v>30</v>
      </c>
      <c r="X62" s="10">
        <f t="shared" si="26"/>
        <v>62</v>
      </c>
      <c r="Y62" s="10">
        <f t="shared" si="27"/>
        <v>69</v>
      </c>
      <c r="Z62" s="10">
        <f t="shared" si="28"/>
        <v>15</v>
      </c>
      <c r="AA62" s="10">
        <f t="shared" si="29"/>
        <v>34</v>
      </c>
      <c r="AB62" s="22">
        <f t="shared" si="30"/>
        <v>43.669999999999995</v>
      </c>
      <c r="AC62" s="23">
        <f t="shared" si="31"/>
        <v>13</v>
      </c>
      <c r="AE62" s="55">
        <f t="shared" si="18"/>
        <v>57</v>
      </c>
      <c r="AF62" s="22">
        <f t="shared" si="32"/>
        <v>56.49</v>
      </c>
      <c r="AG62" s="9" t="str">
        <f t="shared" si="33"/>
        <v>3495 Laird Rd</v>
      </c>
      <c r="AH62" s="56">
        <f t="shared" si="34"/>
        <v>5</v>
      </c>
    </row>
    <row r="63" spans="1:34" ht="16" x14ac:dyDescent="0.2">
      <c r="A63" s="9" t="s">
        <v>77</v>
      </c>
      <c r="B63" s="10">
        <v>29</v>
      </c>
      <c r="C63" s="15" t="s">
        <v>139</v>
      </c>
      <c r="D63" s="10">
        <v>1990</v>
      </c>
      <c r="E63" s="24">
        <v>18</v>
      </c>
      <c r="F63" s="18">
        <f>700/2225</f>
        <v>0.3146067415730337</v>
      </c>
      <c r="G63" s="19">
        <v>2.0099999999999998</v>
      </c>
      <c r="H63" s="13">
        <v>2225</v>
      </c>
      <c r="I63" s="20">
        <f t="shared" si="19"/>
        <v>25</v>
      </c>
      <c r="J63" s="20">
        <v>98672</v>
      </c>
      <c r="K63" s="67">
        <f t="shared" si="16"/>
        <v>2.2549456786119668E-2</v>
      </c>
      <c r="L63" s="10">
        <v>2</v>
      </c>
      <c r="M63" s="22">
        <v>9.6</v>
      </c>
      <c r="N63" s="12">
        <v>12</v>
      </c>
      <c r="O63" s="12">
        <v>7.25</v>
      </c>
      <c r="P63" s="21">
        <f t="shared" si="20"/>
        <v>19.25</v>
      </c>
      <c r="Q63" s="64">
        <f t="shared" si="17"/>
        <v>42831.25</v>
      </c>
      <c r="R63" s="64"/>
      <c r="S63" s="10">
        <f t="shared" si="21"/>
        <v>20</v>
      </c>
      <c r="T63" s="10">
        <f t="shared" si="22"/>
        <v>17</v>
      </c>
      <c r="U63" s="10">
        <f t="shared" si="23"/>
        <v>36</v>
      </c>
      <c r="V63" s="10">
        <f t="shared" si="24"/>
        <v>12</v>
      </c>
      <c r="W63" s="10">
        <f t="shared" si="25"/>
        <v>74</v>
      </c>
      <c r="X63" s="10">
        <f t="shared" si="26"/>
        <v>62</v>
      </c>
      <c r="Y63" s="10">
        <f t="shared" si="27"/>
        <v>119</v>
      </c>
      <c r="Z63" s="10">
        <f t="shared" si="28"/>
        <v>15</v>
      </c>
      <c r="AA63" s="10">
        <f t="shared" si="29"/>
        <v>3</v>
      </c>
      <c r="AB63" s="22">
        <f t="shared" si="30"/>
        <v>44.03</v>
      </c>
      <c r="AC63" s="23">
        <f t="shared" si="31"/>
        <v>17</v>
      </c>
      <c r="AE63" s="55">
        <f t="shared" si="18"/>
        <v>58</v>
      </c>
      <c r="AF63" s="22">
        <f t="shared" si="32"/>
        <v>56.62</v>
      </c>
      <c r="AG63" s="9" t="str">
        <f t="shared" si="33"/>
        <v>1565 Britannia Rd E</v>
      </c>
      <c r="AH63" s="56">
        <f t="shared" si="34"/>
        <v>7</v>
      </c>
    </row>
    <row r="64" spans="1:34" ht="16" x14ac:dyDescent="0.2">
      <c r="A64" s="9" t="s">
        <v>78</v>
      </c>
      <c r="B64" s="10" t="s">
        <v>79</v>
      </c>
      <c r="C64" s="15" t="s">
        <v>140</v>
      </c>
      <c r="D64" s="10">
        <v>1967</v>
      </c>
      <c r="E64" s="10">
        <v>14</v>
      </c>
      <c r="F64" s="18">
        <f>500/4200</f>
        <v>0.11904761904761904</v>
      </c>
      <c r="G64" s="25">
        <v>0.5</v>
      </c>
      <c r="H64" s="13">
        <v>4200</v>
      </c>
      <c r="I64" s="20">
        <f t="shared" si="19"/>
        <v>2000</v>
      </c>
      <c r="J64" s="20">
        <v>8948</v>
      </c>
      <c r="K64" s="67">
        <f t="shared" si="16"/>
        <v>0.46937863209655789</v>
      </c>
      <c r="L64" s="10">
        <v>3</v>
      </c>
      <c r="M64" s="22">
        <v>10.6</v>
      </c>
      <c r="N64" s="12">
        <v>12</v>
      </c>
      <c r="O64" s="12">
        <v>4.5</v>
      </c>
      <c r="P64" s="21">
        <f t="shared" si="20"/>
        <v>16.5</v>
      </c>
      <c r="Q64" s="64">
        <f t="shared" si="17"/>
        <v>69300</v>
      </c>
      <c r="R64" s="64"/>
      <c r="S64" s="10">
        <f t="shared" si="21"/>
        <v>122</v>
      </c>
      <c r="T64" s="10">
        <f t="shared" si="22"/>
        <v>68</v>
      </c>
      <c r="U64" s="10">
        <f t="shared" si="23"/>
        <v>116</v>
      </c>
      <c r="V64" s="10">
        <f t="shared" si="24"/>
        <v>120</v>
      </c>
      <c r="W64" s="10">
        <f t="shared" si="25"/>
        <v>79</v>
      </c>
      <c r="X64" s="10">
        <f t="shared" si="26"/>
        <v>62</v>
      </c>
      <c r="Y64" s="10">
        <f t="shared" si="27"/>
        <v>18</v>
      </c>
      <c r="Z64" s="10">
        <f t="shared" si="28"/>
        <v>72</v>
      </c>
      <c r="AA64" s="10">
        <f t="shared" si="29"/>
        <v>108</v>
      </c>
      <c r="AB64" s="22">
        <f t="shared" si="30"/>
        <v>82.34</v>
      </c>
      <c r="AC64" s="23">
        <f t="shared" si="31"/>
        <v>122</v>
      </c>
      <c r="AE64" s="55">
        <f t="shared" si="18"/>
        <v>59</v>
      </c>
      <c r="AF64" s="22">
        <f t="shared" si="32"/>
        <v>56.67</v>
      </c>
      <c r="AG64" s="9" t="str">
        <f t="shared" si="33"/>
        <v>6625 Tomken Rd</v>
      </c>
      <c r="AH64" s="56">
        <f t="shared" si="34"/>
        <v>11</v>
      </c>
    </row>
    <row r="65" spans="1:34" ht="32" x14ac:dyDescent="0.2">
      <c r="A65" s="9" t="s">
        <v>69</v>
      </c>
      <c r="B65" s="10">
        <v>30</v>
      </c>
      <c r="C65" s="15" t="s">
        <v>133</v>
      </c>
      <c r="D65" s="10">
        <v>1977</v>
      </c>
      <c r="E65" s="10">
        <v>18</v>
      </c>
      <c r="F65" s="18">
        <v>0.1</v>
      </c>
      <c r="G65" s="19">
        <v>1.1200000000000001</v>
      </c>
      <c r="H65" s="13">
        <v>1600</v>
      </c>
      <c r="I65" s="20">
        <f t="shared" si="19"/>
        <v>600</v>
      </c>
      <c r="J65" s="20">
        <v>88903</v>
      </c>
      <c r="K65" s="67">
        <f t="shared" si="16"/>
        <v>1.7997142953556124E-2</v>
      </c>
      <c r="L65" s="10">
        <v>3</v>
      </c>
      <c r="M65" s="22">
        <v>5.2</v>
      </c>
      <c r="N65" s="12">
        <v>12</v>
      </c>
      <c r="O65" s="12">
        <v>4.75</v>
      </c>
      <c r="P65" s="21">
        <f t="shared" si="20"/>
        <v>16.75</v>
      </c>
      <c r="Q65" s="64">
        <f t="shared" si="17"/>
        <v>26800</v>
      </c>
      <c r="R65" s="64"/>
      <c r="S65" s="10">
        <f t="shared" si="21"/>
        <v>90</v>
      </c>
      <c r="T65" s="10">
        <f t="shared" si="22"/>
        <v>17</v>
      </c>
      <c r="U65" s="10">
        <f t="shared" si="23"/>
        <v>118</v>
      </c>
      <c r="V65" s="10">
        <f t="shared" si="24"/>
        <v>96</v>
      </c>
      <c r="W65" s="10">
        <f t="shared" si="25"/>
        <v>34</v>
      </c>
      <c r="X65" s="10">
        <f t="shared" si="26"/>
        <v>62</v>
      </c>
      <c r="Y65" s="10">
        <f t="shared" si="27"/>
        <v>25</v>
      </c>
      <c r="Z65" s="10">
        <f t="shared" si="28"/>
        <v>72</v>
      </c>
      <c r="AA65" s="10">
        <f t="shared" si="29"/>
        <v>61</v>
      </c>
      <c r="AB65" s="22">
        <f t="shared" si="30"/>
        <v>63.06</v>
      </c>
      <c r="AC65" s="23">
        <f t="shared" si="31"/>
        <v>81</v>
      </c>
      <c r="AE65" s="55">
        <f t="shared" si="18"/>
        <v>60</v>
      </c>
      <c r="AF65" s="22">
        <f t="shared" si="32"/>
        <v>56.69</v>
      </c>
      <c r="AG65" s="9" t="str">
        <f t="shared" si="33"/>
        <v>3663 Mavis Rd</v>
      </c>
      <c r="AH65" s="56">
        <f t="shared" si="34"/>
        <v>8</v>
      </c>
    </row>
    <row r="66" spans="1:34" ht="16" x14ac:dyDescent="0.2">
      <c r="A66" s="9" t="s">
        <v>80</v>
      </c>
      <c r="B66" s="10">
        <v>6</v>
      </c>
      <c r="C66" s="15" t="s">
        <v>141</v>
      </c>
      <c r="D66" s="10">
        <v>1990</v>
      </c>
      <c r="E66" s="10">
        <v>16</v>
      </c>
      <c r="F66" s="18">
        <f>750/2071</f>
        <v>0.36214389183969098</v>
      </c>
      <c r="G66" s="19">
        <v>3.1</v>
      </c>
      <c r="H66" s="13">
        <v>2071</v>
      </c>
      <c r="I66" s="20">
        <f t="shared" si="19"/>
        <v>129</v>
      </c>
      <c r="J66" s="20"/>
      <c r="K66" s="67">
        <v>0</v>
      </c>
      <c r="L66" s="10">
        <v>2</v>
      </c>
      <c r="M66" s="22">
        <v>14.1</v>
      </c>
      <c r="N66" s="12">
        <v>12.5</v>
      </c>
      <c r="O66" s="12">
        <v>4.5999999999999996</v>
      </c>
      <c r="P66" s="21">
        <f t="shared" si="20"/>
        <v>17.100000000000001</v>
      </c>
      <c r="Q66" s="64">
        <f t="shared" si="17"/>
        <v>35414.100000000006</v>
      </c>
      <c r="R66" s="64"/>
      <c r="S66" s="10">
        <f t="shared" si="21"/>
        <v>20</v>
      </c>
      <c r="T66" s="10">
        <f t="shared" si="22"/>
        <v>44</v>
      </c>
      <c r="U66" s="10">
        <f t="shared" si="23"/>
        <v>25</v>
      </c>
      <c r="V66" s="10">
        <f t="shared" si="24"/>
        <v>2</v>
      </c>
      <c r="W66" s="10">
        <f t="shared" si="25"/>
        <v>101</v>
      </c>
      <c r="X66" s="10">
        <f t="shared" si="26"/>
        <v>72</v>
      </c>
      <c r="Y66" s="10">
        <f t="shared" si="27"/>
        <v>21</v>
      </c>
      <c r="Z66" s="10">
        <f t="shared" si="28"/>
        <v>15</v>
      </c>
      <c r="AA66" s="10">
        <f t="shared" si="29"/>
        <v>19</v>
      </c>
      <c r="AB66" s="22">
        <f t="shared" si="30"/>
        <v>36.309999999999995</v>
      </c>
      <c r="AC66" s="23">
        <f t="shared" si="31"/>
        <v>3</v>
      </c>
      <c r="AE66" s="55">
        <f t="shared" si="18"/>
        <v>61</v>
      </c>
      <c r="AF66" s="22">
        <f t="shared" si="32"/>
        <v>56.860000000000007</v>
      </c>
      <c r="AG66" s="9" t="str">
        <f t="shared" si="33"/>
        <v>1245 Cardiff Blvd</v>
      </c>
      <c r="AH66" s="56">
        <f t="shared" si="34"/>
        <v>0</v>
      </c>
    </row>
    <row r="67" spans="1:34" ht="16" x14ac:dyDescent="0.2">
      <c r="A67" s="9" t="s">
        <v>81</v>
      </c>
      <c r="B67" s="10">
        <v>15</v>
      </c>
      <c r="C67" s="15" t="s">
        <v>142</v>
      </c>
      <c r="D67" s="10">
        <v>1983</v>
      </c>
      <c r="E67" s="10">
        <v>14</v>
      </c>
      <c r="F67" s="18">
        <v>0.5</v>
      </c>
      <c r="G67" s="19">
        <v>1.35</v>
      </c>
      <c r="H67" s="13">
        <v>2769</v>
      </c>
      <c r="I67" s="20">
        <f t="shared" si="19"/>
        <v>569</v>
      </c>
      <c r="J67" s="20">
        <v>42000</v>
      </c>
      <c r="K67" s="67">
        <f t="shared" si="16"/>
        <v>6.5928571428571434E-2</v>
      </c>
      <c r="L67" s="10">
        <v>2</v>
      </c>
      <c r="M67" s="22">
        <v>13</v>
      </c>
      <c r="N67" s="12">
        <v>13</v>
      </c>
      <c r="O67" s="12">
        <v>7.52</v>
      </c>
      <c r="P67" s="21">
        <f t="shared" si="20"/>
        <v>20.52</v>
      </c>
      <c r="Q67" s="64">
        <f t="shared" si="17"/>
        <v>56819.88</v>
      </c>
      <c r="R67" s="64"/>
      <c r="S67" s="10">
        <f t="shared" si="21"/>
        <v>48</v>
      </c>
      <c r="T67" s="10">
        <f t="shared" si="22"/>
        <v>68</v>
      </c>
      <c r="U67" s="10">
        <f t="shared" si="23"/>
        <v>12</v>
      </c>
      <c r="V67" s="10">
        <f t="shared" si="24"/>
        <v>68</v>
      </c>
      <c r="W67" s="10">
        <f t="shared" si="25"/>
        <v>97</v>
      </c>
      <c r="X67" s="10">
        <f t="shared" si="26"/>
        <v>76</v>
      </c>
      <c r="Y67" s="10">
        <f t="shared" si="27"/>
        <v>122</v>
      </c>
      <c r="Z67" s="10">
        <f t="shared" si="28"/>
        <v>15</v>
      </c>
      <c r="AA67" s="10">
        <f t="shared" si="29"/>
        <v>58</v>
      </c>
      <c r="AB67" s="22">
        <f t="shared" si="30"/>
        <v>67.83</v>
      </c>
      <c r="AC67" s="23">
        <f t="shared" si="31"/>
        <v>100</v>
      </c>
      <c r="AE67" s="55">
        <f t="shared" si="18"/>
        <v>62</v>
      </c>
      <c r="AF67" s="22">
        <f t="shared" si="32"/>
        <v>56.98</v>
      </c>
      <c r="AG67" s="9" t="str">
        <f t="shared" si="33"/>
        <v>170 Ambassador Dr</v>
      </c>
      <c r="AH67" s="56">
        <f t="shared" si="34"/>
        <v>8</v>
      </c>
    </row>
    <row r="68" spans="1:34" ht="16" x14ac:dyDescent="0.2">
      <c r="A68" s="9" t="s">
        <v>82</v>
      </c>
      <c r="B68" s="10">
        <v>11</v>
      </c>
      <c r="C68" s="15" t="s">
        <v>118</v>
      </c>
      <c r="D68" s="10">
        <v>1985</v>
      </c>
      <c r="E68" s="10">
        <v>20</v>
      </c>
      <c r="F68" s="18">
        <v>0.23</v>
      </c>
      <c r="G68" s="19">
        <v>1.42</v>
      </c>
      <c r="H68" s="13">
        <v>3957</v>
      </c>
      <c r="I68" s="20">
        <f t="shared" si="19"/>
        <v>1757</v>
      </c>
      <c r="J68" s="20">
        <v>70287</v>
      </c>
      <c r="K68" s="67">
        <f t="shared" si="16"/>
        <v>5.6297750650902728E-2</v>
      </c>
      <c r="L68" s="10">
        <v>2</v>
      </c>
      <c r="M68" s="22">
        <v>5.8</v>
      </c>
      <c r="N68" s="12">
        <v>13</v>
      </c>
      <c r="O68" s="12">
        <v>5.43</v>
      </c>
      <c r="P68" s="21">
        <f t="shared" si="20"/>
        <v>18.43</v>
      </c>
      <c r="Q68" s="64">
        <f t="shared" si="17"/>
        <v>72927.509999999995</v>
      </c>
      <c r="R68" s="64"/>
      <c r="S68" s="10">
        <f t="shared" si="21"/>
        <v>41</v>
      </c>
      <c r="T68" s="10">
        <f t="shared" si="22"/>
        <v>12</v>
      </c>
      <c r="U68" s="10">
        <f t="shared" si="23"/>
        <v>65</v>
      </c>
      <c r="V68" s="10">
        <f t="shared" si="24"/>
        <v>56</v>
      </c>
      <c r="W68" s="10">
        <f t="shared" si="25"/>
        <v>38</v>
      </c>
      <c r="X68" s="10">
        <f t="shared" si="26"/>
        <v>76</v>
      </c>
      <c r="Y68" s="10">
        <f t="shared" si="27"/>
        <v>72</v>
      </c>
      <c r="Z68" s="10">
        <f t="shared" si="28"/>
        <v>15</v>
      </c>
      <c r="AA68" s="10">
        <f t="shared" si="29"/>
        <v>102</v>
      </c>
      <c r="AB68" s="22">
        <f t="shared" si="30"/>
        <v>56.67</v>
      </c>
      <c r="AC68" s="23">
        <f t="shared" si="31"/>
        <v>59</v>
      </c>
      <c r="AE68" s="55">
        <f t="shared" si="18"/>
        <v>63</v>
      </c>
      <c r="AF68" s="22">
        <f t="shared" si="32"/>
        <v>58.15</v>
      </c>
      <c r="AG68" s="9" t="str">
        <f t="shared" si="33"/>
        <v>5266 General Rd</v>
      </c>
      <c r="AH68" s="56">
        <f t="shared" si="34"/>
        <v>9</v>
      </c>
    </row>
    <row r="69" spans="1:34" ht="16" x14ac:dyDescent="0.2">
      <c r="A69" s="9" t="s">
        <v>83</v>
      </c>
      <c r="B69" s="10">
        <v>10</v>
      </c>
      <c r="C69" s="15" t="s">
        <v>142</v>
      </c>
      <c r="D69" s="10">
        <v>1973</v>
      </c>
      <c r="E69" s="10">
        <v>13.8</v>
      </c>
      <c r="F69" s="18">
        <v>0.15</v>
      </c>
      <c r="G69" s="19">
        <v>1.28</v>
      </c>
      <c r="H69" s="13">
        <v>2280</v>
      </c>
      <c r="I69" s="20">
        <f t="shared" si="19"/>
        <v>80</v>
      </c>
      <c r="J69" s="20">
        <v>45050</v>
      </c>
      <c r="K69" s="67">
        <f t="shared" si="16"/>
        <v>5.0610432852386235E-2</v>
      </c>
      <c r="L69" s="10">
        <v>3</v>
      </c>
      <c r="M69" s="22">
        <v>20.100000000000001</v>
      </c>
      <c r="N69" s="12">
        <v>13</v>
      </c>
      <c r="O69" s="12">
        <v>5.78</v>
      </c>
      <c r="P69" s="21">
        <f t="shared" si="20"/>
        <v>18.78</v>
      </c>
      <c r="Q69" s="64">
        <f t="shared" si="17"/>
        <v>42818.400000000001</v>
      </c>
      <c r="R69" s="64"/>
      <c r="S69" s="10">
        <f t="shared" si="21"/>
        <v>115</v>
      </c>
      <c r="T69" s="10">
        <f t="shared" si="22"/>
        <v>101</v>
      </c>
      <c r="U69" s="10">
        <f t="shared" si="23"/>
        <v>96</v>
      </c>
      <c r="V69" s="10">
        <f t="shared" si="24"/>
        <v>76</v>
      </c>
      <c r="W69" s="10">
        <f t="shared" si="25"/>
        <v>122</v>
      </c>
      <c r="X69" s="10">
        <f t="shared" si="26"/>
        <v>76</v>
      </c>
      <c r="Y69" s="10">
        <f t="shared" si="27"/>
        <v>84</v>
      </c>
      <c r="Z69" s="10">
        <f t="shared" si="28"/>
        <v>72</v>
      </c>
      <c r="AA69" s="10">
        <f t="shared" si="29"/>
        <v>14</v>
      </c>
      <c r="AB69" s="22">
        <f t="shared" si="30"/>
        <v>82.860000000000028</v>
      </c>
      <c r="AC69" s="23">
        <f t="shared" si="31"/>
        <v>123</v>
      </c>
      <c r="AE69" s="55">
        <f t="shared" si="18"/>
        <v>64</v>
      </c>
      <c r="AF69" s="22">
        <f t="shared" si="32"/>
        <v>58.480000000000004</v>
      </c>
      <c r="AG69" s="9" t="str">
        <f t="shared" si="33"/>
        <v>3120 Glen Erin Dr</v>
      </c>
      <c r="AH69" s="56">
        <f t="shared" si="34"/>
        <v>9</v>
      </c>
    </row>
    <row r="70" spans="1:34" ht="16" x14ac:dyDescent="0.2">
      <c r="A70" s="9" t="s">
        <v>83</v>
      </c>
      <c r="B70" s="10">
        <v>9</v>
      </c>
      <c r="C70" s="15" t="s">
        <v>142</v>
      </c>
      <c r="D70" s="10">
        <v>1973</v>
      </c>
      <c r="E70" s="10">
        <v>13.8</v>
      </c>
      <c r="F70" s="18">
        <v>0.15</v>
      </c>
      <c r="G70" s="19">
        <v>1.28</v>
      </c>
      <c r="H70" s="13">
        <v>2270</v>
      </c>
      <c r="I70" s="20">
        <f t="shared" ref="I70:I101" si="35">ABS(H70-H$128)</f>
        <v>70</v>
      </c>
      <c r="J70" s="20">
        <v>45050</v>
      </c>
      <c r="K70" s="67">
        <f t="shared" si="16"/>
        <v>5.0388457269700336E-2</v>
      </c>
      <c r="L70" s="10">
        <v>3</v>
      </c>
      <c r="M70" s="22">
        <v>20.100000000000001</v>
      </c>
      <c r="N70" s="12">
        <v>13</v>
      </c>
      <c r="O70" s="12">
        <v>5.78</v>
      </c>
      <c r="P70" s="21">
        <f t="shared" ref="P70:P101" si="36">SUM(N70:O70)</f>
        <v>18.78</v>
      </c>
      <c r="Q70" s="64">
        <f t="shared" si="17"/>
        <v>42630.600000000006</v>
      </c>
      <c r="R70" s="64"/>
      <c r="S70" s="10">
        <f t="shared" ref="S70:S101" si="37">RANK(D70,D$6:D$128,0)</f>
        <v>115</v>
      </c>
      <c r="T70" s="10">
        <f t="shared" ref="T70:T101" si="38">RANK(E70,E$6:E$128,0)</f>
        <v>101</v>
      </c>
      <c r="U70" s="10">
        <f t="shared" ref="U70:U101" si="39">RANK(F70,F$6:F$128,0)</f>
        <v>96</v>
      </c>
      <c r="V70" s="10">
        <f t="shared" ref="V70:V101" si="40">RANK(G70,G$6:G$128,0)</f>
        <v>76</v>
      </c>
      <c r="W70" s="10">
        <f t="shared" ref="W70:W101" si="41">RANK(M70,M$6:M$128,1)</f>
        <v>122</v>
      </c>
      <c r="X70" s="10">
        <f t="shared" ref="X70:X101" si="42">RANK(N70,N$6:N$128,1)</f>
        <v>76</v>
      </c>
      <c r="Y70" s="10">
        <f t="shared" ref="Y70:Y101" si="43">RANK(O70,O$6:O$128,1)</f>
        <v>84</v>
      </c>
      <c r="Z70" s="10">
        <f t="shared" ref="Z70:Z101" si="44">RANK(L70,L$6:L$128,1)</f>
        <v>72</v>
      </c>
      <c r="AA70" s="10">
        <f t="shared" ref="AA70:AA101" si="45">RANK(I70,I$6:I$128,1)</f>
        <v>8</v>
      </c>
      <c r="AB70" s="22">
        <f t="shared" ref="AB70:AB101" si="46">SUMPRODUCT(S70:AA70,S$4:AA$4)</f>
        <v>82.260000000000019</v>
      </c>
      <c r="AC70" s="23">
        <f t="shared" ref="AC70:AC101" si="47">RANK(AB70,AB$6:AB$128,1)</f>
        <v>121</v>
      </c>
      <c r="AE70" s="55">
        <f t="shared" si="18"/>
        <v>65</v>
      </c>
      <c r="AF70" s="22">
        <f t="shared" ref="AF70:AF101" si="48">_xlfn.XLOOKUP(AE70,AC$6:AC$128,AB$6:AB$128)</f>
        <v>59.01</v>
      </c>
      <c r="AG70" s="9" t="str">
        <f t="shared" ref="AG70:AG101" si="49">_xlfn.XLOOKUP($AE70,$AC$6:$AC$128,A$6:A$128)</f>
        <v>3190 Ridgeway Dr</v>
      </c>
      <c r="AH70" s="56" t="str">
        <f t="shared" ref="AH70:AH101" si="50">_xlfn.XLOOKUP($AE70,$AC$6:$AC$128,B$6:B$128)</f>
        <v>16-17</v>
      </c>
    </row>
    <row r="71" spans="1:34" ht="16" x14ac:dyDescent="0.2">
      <c r="A71" s="9" t="s">
        <v>84</v>
      </c>
      <c r="B71" s="10">
        <v>23</v>
      </c>
      <c r="C71" s="15" t="s">
        <v>143</v>
      </c>
      <c r="D71" s="10">
        <v>1980</v>
      </c>
      <c r="E71" s="10">
        <v>17</v>
      </c>
      <c r="F71" s="18">
        <f>433/2074</f>
        <v>0.20877531340405014</v>
      </c>
      <c r="G71" s="19">
        <v>1.64</v>
      </c>
      <c r="H71" s="13">
        <v>2074</v>
      </c>
      <c r="I71" s="20">
        <f t="shared" si="35"/>
        <v>126</v>
      </c>
      <c r="J71" s="20">
        <v>48740</v>
      </c>
      <c r="K71" s="67">
        <f t="shared" ref="K71:K128" si="51">H71/J71</f>
        <v>4.2552318424292163E-2</v>
      </c>
      <c r="L71" s="10">
        <v>2</v>
      </c>
      <c r="M71" s="22">
        <v>5.2</v>
      </c>
      <c r="N71" s="12">
        <v>13.5</v>
      </c>
      <c r="O71" s="12">
        <v>4.8899999999999997</v>
      </c>
      <c r="P71" s="21">
        <f t="shared" si="36"/>
        <v>18.39</v>
      </c>
      <c r="Q71" s="64">
        <f t="shared" ref="Q71:Q128" si="52">H71*P71</f>
        <v>38140.86</v>
      </c>
      <c r="R71" s="64"/>
      <c r="S71" s="10">
        <f t="shared" si="37"/>
        <v>58</v>
      </c>
      <c r="T71" s="10">
        <f t="shared" si="38"/>
        <v>40</v>
      </c>
      <c r="U71" s="10">
        <f t="shared" si="39"/>
        <v>72</v>
      </c>
      <c r="V71" s="10">
        <f t="shared" si="40"/>
        <v>41</v>
      </c>
      <c r="W71" s="10">
        <f t="shared" si="41"/>
        <v>34</v>
      </c>
      <c r="X71" s="10">
        <f t="shared" si="42"/>
        <v>80</v>
      </c>
      <c r="Y71" s="10">
        <f t="shared" si="43"/>
        <v>31</v>
      </c>
      <c r="Z71" s="10">
        <f t="shared" si="44"/>
        <v>15</v>
      </c>
      <c r="AA71" s="10">
        <f t="shared" si="45"/>
        <v>18</v>
      </c>
      <c r="AB71" s="22">
        <f t="shared" si="46"/>
        <v>45.379999999999995</v>
      </c>
      <c r="AC71" s="23">
        <f t="shared" si="47"/>
        <v>20</v>
      </c>
      <c r="AE71" s="55">
        <f t="shared" si="18"/>
        <v>66</v>
      </c>
      <c r="AF71" s="22">
        <f t="shared" si="48"/>
        <v>59.07</v>
      </c>
      <c r="AG71" s="9" t="str">
        <f t="shared" si="49"/>
        <v>1616 Matheson Blvd</v>
      </c>
      <c r="AH71" s="56">
        <f t="shared" si="50"/>
        <v>24</v>
      </c>
    </row>
    <row r="72" spans="1:34" ht="16" x14ac:dyDescent="0.2">
      <c r="A72" s="9" t="s">
        <v>85</v>
      </c>
      <c r="B72" s="10">
        <v>9</v>
      </c>
      <c r="C72" s="15" t="s">
        <v>144</v>
      </c>
      <c r="D72" s="10">
        <v>1978</v>
      </c>
      <c r="E72" s="10">
        <v>12.6</v>
      </c>
      <c r="F72" s="18">
        <v>0.25</v>
      </c>
      <c r="G72" s="19">
        <v>1.32</v>
      </c>
      <c r="H72" s="13">
        <v>1794</v>
      </c>
      <c r="I72" s="20">
        <f t="shared" si="35"/>
        <v>406</v>
      </c>
      <c r="J72" s="20">
        <v>75329</v>
      </c>
      <c r="K72" s="67">
        <f t="shared" si="51"/>
        <v>2.3815529211857318E-2</v>
      </c>
      <c r="L72" s="10">
        <v>3</v>
      </c>
      <c r="M72" s="22">
        <v>3.2</v>
      </c>
      <c r="N72" s="12">
        <v>14</v>
      </c>
      <c r="O72" s="12">
        <v>5.26</v>
      </c>
      <c r="P72" s="21">
        <f t="shared" si="36"/>
        <v>19.259999999999998</v>
      </c>
      <c r="Q72" s="64">
        <f t="shared" si="52"/>
        <v>34552.439999999995</v>
      </c>
      <c r="R72" s="64"/>
      <c r="S72" s="10">
        <f t="shared" si="37"/>
        <v>84</v>
      </c>
      <c r="T72" s="10">
        <f t="shared" si="38"/>
        <v>116</v>
      </c>
      <c r="U72" s="10">
        <f t="shared" si="39"/>
        <v>40</v>
      </c>
      <c r="V72" s="10">
        <f t="shared" si="40"/>
        <v>70</v>
      </c>
      <c r="W72" s="10">
        <f t="shared" si="41"/>
        <v>14</v>
      </c>
      <c r="X72" s="10">
        <f t="shared" si="42"/>
        <v>81</v>
      </c>
      <c r="Y72" s="10">
        <f t="shared" si="43"/>
        <v>60</v>
      </c>
      <c r="Z72" s="10">
        <f t="shared" si="44"/>
        <v>72</v>
      </c>
      <c r="AA72" s="10">
        <f t="shared" si="45"/>
        <v>39</v>
      </c>
      <c r="AB72" s="22">
        <f t="shared" si="46"/>
        <v>64.52</v>
      </c>
      <c r="AC72" s="23">
        <f t="shared" si="47"/>
        <v>86</v>
      </c>
      <c r="AE72" s="55">
        <f t="shared" ref="AE72:AE128" si="53">AE71+1</f>
        <v>67</v>
      </c>
      <c r="AF72" s="22" t="e">
        <f t="shared" si="48"/>
        <v>#N/A</v>
      </c>
      <c r="AG72" s="9" t="e">
        <f t="shared" si="49"/>
        <v>#N/A</v>
      </c>
      <c r="AH72" s="56" t="e">
        <f t="shared" si="50"/>
        <v>#N/A</v>
      </c>
    </row>
    <row r="73" spans="1:34" ht="16" x14ac:dyDescent="0.2">
      <c r="A73" s="9" t="s">
        <v>86</v>
      </c>
      <c r="B73" s="10">
        <v>4</v>
      </c>
      <c r="C73" s="15" t="s">
        <v>145</v>
      </c>
      <c r="D73" s="10">
        <v>1985</v>
      </c>
      <c r="E73" s="10">
        <v>22.6</v>
      </c>
      <c r="F73" s="18">
        <v>0.32</v>
      </c>
      <c r="G73" s="19">
        <v>1.26</v>
      </c>
      <c r="H73" s="13">
        <v>2634</v>
      </c>
      <c r="I73" s="20">
        <f t="shared" si="35"/>
        <v>434</v>
      </c>
      <c r="J73" s="20">
        <v>51495</v>
      </c>
      <c r="K73" s="67">
        <f t="shared" si="51"/>
        <v>5.1150597145353915E-2</v>
      </c>
      <c r="L73" s="10">
        <v>2</v>
      </c>
      <c r="M73" s="22">
        <v>15</v>
      </c>
      <c r="N73" s="12">
        <v>14</v>
      </c>
      <c r="O73" s="12">
        <v>5.1100000000000003</v>
      </c>
      <c r="P73" s="21">
        <f t="shared" si="36"/>
        <v>19.11</v>
      </c>
      <c r="Q73" s="64">
        <f t="shared" si="52"/>
        <v>50335.74</v>
      </c>
      <c r="R73" s="64"/>
      <c r="S73" s="10">
        <f t="shared" si="37"/>
        <v>41</v>
      </c>
      <c r="T73" s="10">
        <f t="shared" si="38"/>
        <v>4</v>
      </c>
      <c r="U73" s="10">
        <f t="shared" si="39"/>
        <v>34</v>
      </c>
      <c r="V73" s="10">
        <f t="shared" si="40"/>
        <v>79</v>
      </c>
      <c r="W73" s="10">
        <f t="shared" si="41"/>
        <v>105</v>
      </c>
      <c r="X73" s="10">
        <f t="shared" si="42"/>
        <v>81</v>
      </c>
      <c r="Y73" s="10">
        <f t="shared" si="43"/>
        <v>54</v>
      </c>
      <c r="Z73" s="10">
        <f t="shared" si="44"/>
        <v>15</v>
      </c>
      <c r="AA73" s="10">
        <f t="shared" si="45"/>
        <v>41</v>
      </c>
      <c r="AB73" s="22">
        <f t="shared" si="46"/>
        <v>55.1</v>
      </c>
      <c r="AC73" s="23">
        <f t="shared" si="47"/>
        <v>53</v>
      </c>
      <c r="AE73" s="55">
        <f t="shared" si="53"/>
        <v>68</v>
      </c>
      <c r="AF73" s="22">
        <f t="shared" si="48"/>
        <v>59.16</v>
      </c>
      <c r="AG73" s="9" t="str">
        <f t="shared" si="49"/>
        <v>3663 Mavis Rd</v>
      </c>
      <c r="AH73" s="56">
        <f t="shared" si="50"/>
        <v>8</v>
      </c>
    </row>
    <row r="74" spans="1:34" ht="16" x14ac:dyDescent="0.2">
      <c r="A74" s="9" t="s">
        <v>87</v>
      </c>
      <c r="B74" s="11" t="s">
        <v>88</v>
      </c>
      <c r="C74" s="15" t="s">
        <v>146</v>
      </c>
      <c r="D74" s="10">
        <v>1990</v>
      </c>
      <c r="E74" s="10">
        <v>18</v>
      </c>
      <c r="F74" s="18">
        <v>0.22</v>
      </c>
      <c r="G74" s="19">
        <v>1.24</v>
      </c>
      <c r="H74" s="13">
        <v>4412</v>
      </c>
      <c r="I74" s="20">
        <f t="shared" si="35"/>
        <v>2212</v>
      </c>
      <c r="J74" s="20">
        <v>22860</v>
      </c>
      <c r="K74" s="67">
        <f t="shared" si="51"/>
        <v>0.19300087489063866</v>
      </c>
      <c r="L74" s="10">
        <v>2</v>
      </c>
      <c r="M74" s="22">
        <v>18.899999999999999</v>
      </c>
      <c r="N74" s="12">
        <v>14</v>
      </c>
      <c r="O74" s="12">
        <v>4.66</v>
      </c>
      <c r="P74" s="21">
        <f t="shared" si="36"/>
        <v>18.66</v>
      </c>
      <c r="Q74" s="64">
        <f t="shared" si="52"/>
        <v>82327.92</v>
      </c>
      <c r="R74" s="64"/>
      <c r="S74" s="10">
        <f t="shared" si="37"/>
        <v>20</v>
      </c>
      <c r="T74" s="10">
        <f t="shared" si="38"/>
        <v>17</v>
      </c>
      <c r="U74" s="10">
        <f t="shared" si="39"/>
        <v>66</v>
      </c>
      <c r="V74" s="10">
        <f t="shared" si="40"/>
        <v>81</v>
      </c>
      <c r="W74" s="10">
        <f t="shared" si="41"/>
        <v>118</v>
      </c>
      <c r="X74" s="10">
        <f t="shared" si="42"/>
        <v>81</v>
      </c>
      <c r="Y74" s="10">
        <f t="shared" si="43"/>
        <v>22</v>
      </c>
      <c r="Z74" s="10">
        <f t="shared" si="44"/>
        <v>15</v>
      </c>
      <c r="AA74" s="10">
        <f t="shared" si="45"/>
        <v>113</v>
      </c>
      <c r="AB74" s="22">
        <f t="shared" si="46"/>
        <v>62.239999999999995</v>
      </c>
      <c r="AC74" s="23">
        <f t="shared" si="47"/>
        <v>78</v>
      </c>
      <c r="AE74" s="55">
        <f t="shared" si="53"/>
        <v>69</v>
      </c>
      <c r="AF74" s="22">
        <f t="shared" si="48"/>
        <v>59.18</v>
      </c>
      <c r="AG74" s="9" t="str">
        <f t="shared" si="49"/>
        <v>2798 Thamesgate Dr</v>
      </c>
      <c r="AH74" s="56">
        <f t="shared" si="50"/>
        <v>7</v>
      </c>
    </row>
    <row r="75" spans="1:34" ht="16" x14ac:dyDescent="0.2">
      <c r="A75" s="9" t="s">
        <v>89</v>
      </c>
      <c r="B75" s="10">
        <v>21</v>
      </c>
      <c r="C75" s="15" t="s">
        <v>142</v>
      </c>
      <c r="D75" s="10">
        <v>1974</v>
      </c>
      <c r="E75" s="10">
        <v>14</v>
      </c>
      <c r="F75" s="18">
        <v>0.25</v>
      </c>
      <c r="G75" s="19">
        <v>1.41</v>
      </c>
      <c r="H75" s="13">
        <v>4478</v>
      </c>
      <c r="I75" s="20">
        <f t="shared" si="35"/>
        <v>2278</v>
      </c>
      <c r="J75" s="20">
        <v>55000</v>
      </c>
      <c r="K75" s="67">
        <f t="shared" si="51"/>
        <v>8.141818181818182E-2</v>
      </c>
      <c r="L75" s="10">
        <v>3</v>
      </c>
      <c r="M75" s="22">
        <v>7.4</v>
      </c>
      <c r="N75" s="12">
        <v>14</v>
      </c>
      <c r="O75" s="12">
        <v>6.28</v>
      </c>
      <c r="P75" s="21">
        <f t="shared" si="36"/>
        <v>20.28</v>
      </c>
      <c r="Q75" s="64">
        <f t="shared" si="52"/>
        <v>90813.840000000011</v>
      </c>
      <c r="R75" s="64"/>
      <c r="S75" s="10">
        <f t="shared" si="37"/>
        <v>95</v>
      </c>
      <c r="T75" s="10">
        <f t="shared" si="38"/>
        <v>68</v>
      </c>
      <c r="U75" s="10">
        <f t="shared" si="39"/>
        <v>40</v>
      </c>
      <c r="V75" s="10">
        <f t="shared" si="40"/>
        <v>57</v>
      </c>
      <c r="W75" s="10">
        <f t="shared" si="41"/>
        <v>51</v>
      </c>
      <c r="X75" s="10">
        <f t="shared" si="42"/>
        <v>81</v>
      </c>
      <c r="Y75" s="10">
        <f t="shared" si="43"/>
        <v>99</v>
      </c>
      <c r="Z75" s="10">
        <f t="shared" si="44"/>
        <v>72</v>
      </c>
      <c r="AA75" s="10">
        <f t="shared" si="45"/>
        <v>116</v>
      </c>
      <c r="AB75" s="22">
        <f t="shared" si="46"/>
        <v>75.510000000000005</v>
      </c>
      <c r="AC75" s="23">
        <f t="shared" si="47"/>
        <v>117</v>
      </c>
      <c r="AE75" s="55">
        <f t="shared" si="53"/>
        <v>70</v>
      </c>
      <c r="AF75" s="22">
        <f t="shared" si="48"/>
        <v>59.410000000000004</v>
      </c>
      <c r="AG75" s="9" t="str">
        <f t="shared" si="49"/>
        <v>5266 General Rd</v>
      </c>
      <c r="AH75" s="56">
        <f t="shared" si="50"/>
        <v>8</v>
      </c>
    </row>
    <row r="76" spans="1:34" ht="16" x14ac:dyDescent="0.2">
      <c r="A76" s="9" t="s">
        <v>89</v>
      </c>
      <c r="B76" s="10">
        <v>14</v>
      </c>
      <c r="C76" s="15" t="s">
        <v>142</v>
      </c>
      <c r="D76" s="10">
        <v>1974</v>
      </c>
      <c r="E76" s="10">
        <v>14</v>
      </c>
      <c r="F76" s="18">
        <v>0.25</v>
      </c>
      <c r="G76" s="19">
        <v>1.41</v>
      </c>
      <c r="H76" s="13">
        <v>2249</v>
      </c>
      <c r="I76" s="20">
        <f t="shared" si="35"/>
        <v>49</v>
      </c>
      <c r="J76" s="20">
        <v>55000</v>
      </c>
      <c r="K76" s="67">
        <f t="shared" si="51"/>
        <v>4.0890909090909089E-2</v>
      </c>
      <c r="L76" s="10">
        <v>3</v>
      </c>
      <c r="M76" s="22">
        <v>7.4</v>
      </c>
      <c r="N76" s="12">
        <v>14</v>
      </c>
      <c r="O76" s="12">
        <v>6.28</v>
      </c>
      <c r="P76" s="21">
        <f t="shared" si="36"/>
        <v>20.28</v>
      </c>
      <c r="Q76" s="64">
        <f t="shared" si="52"/>
        <v>45609.72</v>
      </c>
      <c r="R76" s="64"/>
      <c r="S76" s="10">
        <f t="shared" si="37"/>
        <v>95</v>
      </c>
      <c r="T76" s="10">
        <f t="shared" si="38"/>
        <v>68</v>
      </c>
      <c r="U76" s="10">
        <f t="shared" si="39"/>
        <v>40</v>
      </c>
      <c r="V76" s="10">
        <f t="shared" si="40"/>
        <v>57</v>
      </c>
      <c r="W76" s="10">
        <f t="shared" si="41"/>
        <v>51</v>
      </c>
      <c r="X76" s="10">
        <f t="shared" si="42"/>
        <v>81</v>
      </c>
      <c r="Y76" s="10">
        <f t="shared" si="43"/>
        <v>99</v>
      </c>
      <c r="Z76" s="10">
        <f t="shared" si="44"/>
        <v>72</v>
      </c>
      <c r="AA76" s="10">
        <f t="shared" si="45"/>
        <v>5</v>
      </c>
      <c r="AB76" s="22">
        <f t="shared" si="46"/>
        <v>64.41</v>
      </c>
      <c r="AC76" s="23">
        <f t="shared" si="47"/>
        <v>85</v>
      </c>
      <c r="AE76" s="55">
        <f t="shared" si="53"/>
        <v>71</v>
      </c>
      <c r="AF76" s="22">
        <f t="shared" si="48"/>
        <v>59.970000000000006</v>
      </c>
      <c r="AG76" s="9" t="str">
        <f t="shared" si="49"/>
        <v>3615 Laird Rd</v>
      </c>
      <c r="AH76" s="56">
        <f t="shared" si="50"/>
        <v>6</v>
      </c>
    </row>
    <row r="77" spans="1:34" ht="16" x14ac:dyDescent="0.2">
      <c r="A77" s="9" t="s">
        <v>85</v>
      </c>
      <c r="B77" s="10">
        <v>12</v>
      </c>
      <c r="C77" s="15" t="s">
        <v>144</v>
      </c>
      <c r="D77" s="10">
        <v>1978</v>
      </c>
      <c r="E77" s="10">
        <v>12.6</v>
      </c>
      <c r="F77" s="18">
        <v>0.25</v>
      </c>
      <c r="G77" s="19">
        <v>1.32</v>
      </c>
      <c r="H77" s="13">
        <v>2714</v>
      </c>
      <c r="I77" s="20">
        <f t="shared" si="35"/>
        <v>514</v>
      </c>
      <c r="J77" s="20">
        <v>75329</v>
      </c>
      <c r="K77" s="67">
        <f t="shared" si="51"/>
        <v>3.6028621115373895E-2</v>
      </c>
      <c r="L77" s="10">
        <v>3</v>
      </c>
      <c r="M77" s="22">
        <v>3.2</v>
      </c>
      <c r="N77" s="12">
        <v>14</v>
      </c>
      <c r="O77" s="12">
        <v>5.26</v>
      </c>
      <c r="P77" s="21">
        <f t="shared" si="36"/>
        <v>19.259999999999998</v>
      </c>
      <c r="Q77" s="64">
        <f t="shared" si="52"/>
        <v>52271.639999999992</v>
      </c>
      <c r="R77" s="64"/>
      <c r="S77" s="10">
        <f t="shared" si="37"/>
        <v>84</v>
      </c>
      <c r="T77" s="10">
        <f t="shared" si="38"/>
        <v>116</v>
      </c>
      <c r="U77" s="10">
        <f t="shared" si="39"/>
        <v>40</v>
      </c>
      <c r="V77" s="10">
        <f t="shared" si="40"/>
        <v>70</v>
      </c>
      <c r="W77" s="10">
        <f t="shared" si="41"/>
        <v>14</v>
      </c>
      <c r="X77" s="10">
        <f t="shared" si="42"/>
        <v>81</v>
      </c>
      <c r="Y77" s="10">
        <f t="shared" si="43"/>
        <v>60</v>
      </c>
      <c r="Z77" s="10">
        <f t="shared" si="44"/>
        <v>72</v>
      </c>
      <c r="AA77" s="10">
        <f t="shared" si="45"/>
        <v>50</v>
      </c>
      <c r="AB77" s="22">
        <f t="shared" si="46"/>
        <v>65.62</v>
      </c>
      <c r="AC77" s="23">
        <f t="shared" si="47"/>
        <v>90</v>
      </c>
      <c r="AE77" s="55">
        <f t="shared" si="53"/>
        <v>72</v>
      </c>
      <c r="AF77" s="22">
        <f t="shared" si="48"/>
        <v>60.36999999999999</v>
      </c>
      <c r="AG77" s="9" t="str">
        <f t="shared" si="49"/>
        <v>7270 Torbram Rd</v>
      </c>
      <c r="AH77" s="56">
        <f t="shared" si="50"/>
        <v>25</v>
      </c>
    </row>
    <row r="78" spans="1:34" ht="16" x14ac:dyDescent="0.2">
      <c r="A78" s="9" t="s">
        <v>85</v>
      </c>
      <c r="B78" s="10">
        <v>44</v>
      </c>
      <c r="C78" s="15" t="s">
        <v>144</v>
      </c>
      <c r="D78" s="10">
        <v>1978</v>
      </c>
      <c r="E78" s="10">
        <v>12.6</v>
      </c>
      <c r="F78" s="18">
        <v>0.25</v>
      </c>
      <c r="G78" s="19">
        <v>1.32</v>
      </c>
      <c r="H78" s="13">
        <v>2636</v>
      </c>
      <c r="I78" s="20">
        <f t="shared" si="35"/>
        <v>436</v>
      </c>
      <c r="J78" s="20">
        <v>75329</v>
      </c>
      <c r="K78" s="67">
        <f t="shared" si="51"/>
        <v>3.4993163323554011E-2</v>
      </c>
      <c r="L78" s="10">
        <v>3</v>
      </c>
      <c r="M78" s="22">
        <v>3.2</v>
      </c>
      <c r="N78" s="12">
        <v>14</v>
      </c>
      <c r="O78" s="12">
        <v>5.26</v>
      </c>
      <c r="P78" s="21">
        <f t="shared" si="36"/>
        <v>19.259999999999998</v>
      </c>
      <c r="Q78" s="64">
        <f t="shared" si="52"/>
        <v>50769.359999999993</v>
      </c>
      <c r="R78" s="64"/>
      <c r="S78" s="10">
        <f t="shared" si="37"/>
        <v>84</v>
      </c>
      <c r="T78" s="10">
        <f t="shared" si="38"/>
        <v>116</v>
      </c>
      <c r="U78" s="10">
        <f t="shared" si="39"/>
        <v>40</v>
      </c>
      <c r="V78" s="10">
        <f t="shared" si="40"/>
        <v>70</v>
      </c>
      <c r="W78" s="10">
        <f t="shared" si="41"/>
        <v>14</v>
      </c>
      <c r="X78" s="10">
        <f t="shared" si="42"/>
        <v>81</v>
      </c>
      <c r="Y78" s="10">
        <f t="shared" si="43"/>
        <v>60</v>
      </c>
      <c r="Z78" s="10">
        <f t="shared" si="44"/>
        <v>72</v>
      </c>
      <c r="AA78" s="10">
        <f t="shared" si="45"/>
        <v>42</v>
      </c>
      <c r="AB78" s="22">
        <f t="shared" si="46"/>
        <v>64.819999999999993</v>
      </c>
      <c r="AC78" s="23">
        <f t="shared" si="47"/>
        <v>87</v>
      </c>
      <c r="AE78" s="55">
        <f t="shared" si="53"/>
        <v>73</v>
      </c>
      <c r="AF78" s="22">
        <f t="shared" si="48"/>
        <v>60.76</v>
      </c>
      <c r="AG78" s="9" t="str">
        <f t="shared" si="49"/>
        <v>1575 Sismet Rd</v>
      </c>
      <c r="AH78" s="56" t="str">
        <f t="shared" si="50"/>
        <v>5-6</v>
      </c>
    </row>
    <row r="79" spans="1:34" ht="16" x14ac:dyDescent="0.2">
      <c r="A79" s="9" t="s">
        <v>85</v>
      </c>
      <c r="B79" s="10">
        <v>22</v>
      </c>
      <c r="C79" s="15" t="s">
        <v>144</v>
      </c>
      <c r="D79" s="10">
        <v>1978</v>
      </c>
      <c r="E79" s="10">
        <v>12.6</v>
      </c>
      <c r="F79" s="18">
        <v>0.25</v>
      </c>
      <c r="G79" s="19">
        <v>1.32</v>
      </c>
      <c r="H79" s="13">
        <v>2723</v>
      </c>
      <c r="I79" s="20">
        <f t="shared" si="35"/>
        <v>523</v>
      </c>
      <c r="J79" s="20">
        <v>75329</v>
      </c>
      <c r="K79" s="67">
        <f t="shared" si="51"/>
        <v>3.6148097014430031E-2</v>
      </c>
      <c r="L79" s="10">
        <v>3</v>
      </c>
      <c r="M79" s="22">
        <v>3.2</v>
      </c>
      <c r="N79" s="12">
        <v>14</v>
      </c>
      <c r="O79" s="12">
        <v>5.26</v>
      </c>
      <c r="P79" s="21">
        <f t="shared" si="36"/>
        <v>19.259999999999998</v>
      </c>
      <c r="Q79" s="64">
        <f t="shared" si="52"/>
        <v>52444.979999999996</v>
      </c>
      <c r="R79" s="64"/>
      <c r="S79" s="10">
        <f t="shared" si="37"/>
        <v>84</v>
      </c>
      <c r="T79" s="10">
        <f t="shared" si="38"/>
        <v>116</v>
      </c>
      <c r="U79" s="10">
        <f t="shared" si="39"/>
        <v>40</v>
      </c>
      <c r="V79" s="10">
        <f t="shared" si="40"/>
        <v>70</v>
      </c>
      <c r="W79" s="10">
        <f t="shared" si="41"/>
        <v>14</v>
      </c>
      <c r="X79" s="10">
        <f t="shared" si="42"/>
        <v>81</v>
      </c>
      <c r="Y79" s="10">
        <f t="shared" si="43"/>
        <v>60</v>
      </c>
      <c r="Z79" s="10">
        <f t="shared" si="44"/>
        <v>72</v>
      </c>
      <c r="AA79" s="10">
        <f t="shared" si="45"/>
        <v>52</v>
      </c>
      <c r="AB79" s="22">
        <f t="shared" si="46"/>
        <v>65.819999999999993</v>
      </c>
      <c r="AC79" s="23">
        <f t="shared" si="47"/>
        <v>92</v>
      </c>
      <c r="AE79" s="55">
        <f t="shared" si="53"/>
        <v>74</v>
      </c>
      <c r="AF79" s="22">
        <f t="shared" si="48"/>
        <v>60.86999999999999</v>
      </c>
      <c r="AG79" s="9" t="str">
        <f t="shared" si="49"/>
        <v>7270 Torbram Rd</v>
      </c>
      <c r="AH79" s="56">
        <f t="shared" si="50"/>
        <v>19</v>
      </c>
    </row>
    <row r="80" spans="1:34" ht="16" x14ac:dyDescent="0.2">
      <c r="A80" s="9" t="s">
        <v>85</v>
      </c>
      <c r="B80" s="10">
        <v>16</v>
      </c>
      <c r="C80" s="15" t="s">
        <v>144</v>
      </c>
      <c r="D80" s="10">
        <v>1978</v>
      </c>
      <c r="E80" s="10">
        <v>12.6</v>
      </c>
      <c r="F80" s="18">
        <v>0.25</v>
      </c>
      <c r="G80" s="19">
        <v>1.32</v>
      </c>
      <c r="H80" s="13">
        <v>2800</v>
      </c>
      <c r="I80" s="20">
        <f t="shared" si="35"/>
        <v>600</v>
      </c>
      <c r="J80" s="20">
        <v>75329</v>
      </c>
      <c r="K80" s="67">
        <f t="shared" si="51"/>
        <v>3.7170279706354788E-2</v>
      </c>
      <c r="L80" s="10">
        <v>3</v>
      </c>
      <c r="M80" s="22">
        <v>3.2</v>
      </c>
      <c r="N80" s="12">
        <v>14</v>
      </c>
      <c r="O80" s="12">
        <v>5.26</v>
      </c>
      <c r="P80" s="21">
        <f t="shared" si="36"/>
        <v>19.259999999999998</v>
      </c>
      <c r="Q80" s="64">
        <f t="shared" si="52"/>
        <v>53927.999999999993</v>
      </c>
      <c r="R80" s="64"/>
      <c r="S80" s="10">
        <f t="shared" si="37"/>
        <v>84</v>
      </c>
      <c r="T80" s="10">
        <f t="shared" si="38"/>
        <v>116</v>
      </c>
      <c r="U80" s="10">
        <f t="shared" si="39"/>
        <v>40</v>
      </c>
      <c r="V80" s="10">
        <f t="shared" si="40"/>
        <v>70</v>
      </c>
      <c r="W80" s="10">
        <f t="shared" si="41"/>
        <v>14</v>
      </c>
      <c r="X80" s="10">
        <f t="shared" si="42"/>
        <v>81</v>
      </c>
      <c r="Y80" s="10">
        <f t="shared" si="43"/>
        <v>60</v>
      </c>
      <c r="Z80" s="10">
        <f t="shared" si="44"/>
        <v>72</v>
      </c>
      <c r="AA80" s="10">
        <f t="shared" si="45"/>
        <v>61</v>
      </c>
      <c r="AB80" s="22">
        <f t="shared" si="46"/>
        <v>66.72</v>
      </c>
      <c r="AC80" s="23">
        <f t="shared" si="47"/>
        <v>95</v>
      </c>
      <c r="AE80" s="55">
        <f t="shared" si="53"/>
        <v>75</v>
      </c>
      <c r="AF80" s="22">
        <f t="shared" si="48"/>
        <v>61.069999999999993</v>
      </c>
      <c r="AG80" s="9" t="str">
        <f t="shared" si="49"/>
        <v>7270 Torbram Rd</v>
      </c>
      <c r="AH80" s="56">
        <f t="shared" si="50"/>
        <v>18</v>
      </c>
    </row>
    <row r="81" spans="1:34" ht="16" x14ac:dyDescent="0.2">
      <c r="A81" s="9" t="s">
        <v>90</v>
      </c>
      <c r="B81" s="10">
        <v>119</v>
      </c>
      <c r="C81" s="15" t="s">
        <v>142</v>
      </c>
      <c r="D81" s="10">
        <v>1974</v>
      </c>
      <c r="E81" s="10">
        <v>14</v>
      </c>
      <c r="F81" s="18">
        <v>0.25</v>
      </c>
      <c r="G81" s="19">
        <v>1.21</v>
      </c>
      <c r="H81" s="13">
        <v>2279</v>
      </c>
      <c r="I81" s="20">
        <f t="shared" si="35"/>
        <v>79</v>
      </c>
      <c r="J81" s="20">
        <v>55703</v>
      </c>
      <c r="K81" s="67">
        <f t="shared" si="51"/>
        <v>4.0913415794481447E-2</v>
      </c>
      <c r="L81" s="10">
        <v>3</v>
      </c>
      <c r="M81" s="22">
        <v>7.4</v>
      </c>
      <c r="N81" s="12">
        <v>14</v>
      </c>
      <c r="O81" s="12">
        <v>6.28</v>
      </c>
      <c r="P81" s="21">
        <f t="shared" si="36"/>
        <v>20.28</v>
      </c>
      <c r="Q81" s="64">
        <f t="shared" si="52"/>
        <v>46218.12</v>
      </c>
      <c r="R81" s="64"/>
      <c r="S81" s="10">
        <f t="shared" si="37"/>
        <v>95</v>
      </c>
      <c r="T81" s="10">
        <f t="shared" si="38"/>
        <v>68</v>
      </c>
      <c r="U81" s="10">
        <f t="shared" si="39"/>
        <v>40</v>
      </c>
      <c r="V81" s="10">
        <f t="shared" si="40"/>
        <v>84</v>
      </c>
      <c r="W81" s="10">
        <f t="shared" si="41"/>
        <v>51</v>
      </c>
      <c r="X81" s="10">
        <f t="shared" si="42"/>
        <v>81</v>
      </c>
      <c r="Y81" s="10">
        <f t="shared" si="43"/>
        <v>99</v>
      </c>
      <c r="Z81" s="10">
        <f t="shared" si="44"/>
        <v>72</v>
      </c>
      <c r="AA81" s="10">
        <f t="shared" si="45"/>
        <v>13</v>
      </c>
      <c r="AB81" s="22">
        <f t="shared" si="46"/>
        <v>69.260000000000005</v>
      </c>
      <c r="AC81" s="23">
        <f t="shared" si="47"/>
        <v>109</v>
      </c>
      <c r="AE81" s="55">
        <f t="shared" si="53"/>
        <v>76</v>
      </c>
      <c r="AF81" s="22">
        <f t="shared" si="48"/>
        <v>61.62</v>
      </c>
      <c r="AG81" s="9" t="str">
        <f t="shared" si="49"/>
        <v>4161 Sladeview Cres</v>
      </c>
      <c r="AH81" s="56">
        <f t="shared" si="50"/>
        <v>26</v>
      </c>
    </row>
    <row r="82" spans="1:34" ht="16" x14ac:dyDescent="0.2">
      <c r="A82" s="9" t="s">
        <v>90</v>
      </c>
      <c r="B82" s="10">
        <v>115</v>
      </c>
      <c r="C82" s="15" t="s">
        <v>142</v>
      </c>
      <c r="D82" s="10">
        <v>1974</v>
      </c>
      <c r="E82" s="10">
        <v>14</v>
      </c>
      <c r="F82" s="18">
        <v>0.25</v>
      </c>
      <c r="G82" s="19">
        <v>1.21</v>
      </c>
      <c r="H82" s="13">
        <v>2275</v>
      </c>
      <c r="I82" s="20">
        <f t="shared" si="35"/>
        <v>75</v>
      </c>
      <c r="J82" s="20">
        <v>55703</v>
      </c>
      <c r="K82" s="67">
        <f t="shared" si="51"/>
        <v>4.0841606376676304E-2</v>
      </c>
      <c r="L82" s="10">
        <v>3</v>
      </c>
      <c r="M82" s="22">
        <v>7.4</v>
      </c>
      <c r="N82" s="12">
        <v>14</v>
      </c>
      <c r="O82" s="12">
        <v>6.28</v>
      </c>
      <c r="P82" s="21">
        <f t="shared" si="36"/>
        <v>20.28</v>
      </c>
      <c r="Q82" s="64">
        <f t="shared" si="52"/>
        <v>46137</v>
      </c>
      <c r="R82" s="64"/>
      <c r="S82" s="10">
        <f t="shared" si="37"/>
        <v>95</v>
      </c>
      <c r="T82" s="10">
        <f t="shared" si="38"/>
        <v>68</v>
      </c>
      <c r="U82" s="10">
        <f t="shared" si="39"/>
        <v>40</v>
      </c>
      <c r="V82" s="10">
        <f t="shared" si="40"/>
        <v>84</v>
      </c>
      <c r="W82" s="10">
        <f t="shared" si="41"/>
        <v>51</v>
      </c>
      <c r="X82" s="10">
        <f t="shared" si="42"/>
        <v>81</v>
      </c>
      <c r="Y82" s="10">
        <f t="shared" si="43"/>
        <v>99</v>
      </c>
      <c r="Z82" s="10">
        <f t="shared" si="44"/>
        <v>72</v>
      </c>
      <c r="AA82" s="10">
        <f t="shared" si="45"/>
        <v>11</v>
      </c>
      <c r="AB82" s="22">
        <f t="shared" si="46"/>
        <v>69.06</v>
      </c>
      <c r="AC82" s="23">
        <f t="shared" si="47"/>
        <v>106</v>
      </c>
      <c r="AE82" s="55">
        <f t="shared" si="53"/>
        <v>77</v>
      </c>
      <c r="AF82" s="22">
        <f t="shared" si="48"/>
        <v>62.03</v>
      </c>
      <c r="AG82" s="9" t="str">
        <f t="shared" si="49"/>
        <v>6345 Netherhart Rd E</v>
      </c>
      <c r="AH82" s="56">
        <f t="shared" si="50"/>
        <v>6</v>
      </c>
    </row>
    <row r="83" spans="1:34" ht="16" x14ac:dyDescent="0.2">
      <c r="A83" s="9" t="s">
        <v>90</v>
      </c>
      <c r="B83" s="10">
        <v>116</v>
      </c>
      <c r="C83" s="15" t="s">
        <v>142</v>
      </c>
      <c r="D83" s="10">
        <v>1974</v>
      </c>
      <c r="E83" s="10">
        <v>14</v>
      </c>
      <c r="F83" s="18">
        <v>0.25</v>
      </c>
      <c r="G83" s="19">
        <v>1.21</v>
      </c>
      <c r="H83" s="13">
        <v>2272</v>
      </c>
      <c r="I83" s="20">
        <f t="shared" si="35"/>
        <v>72</v>
      </c>
      <c r="J83" s="20">
        <v>55703</v>
      </c>
      <c r="K83" s="67">
        <f t="shared" si="51"/>
        <v>4.0787749313322443E-2</v>
      </c>
      <c r="L83" s="10">
        <v>3</v>
      </c>
      <c r="M83" s="22">
        <v>7.4</v>
      </c>
      <c r="N83" s="12">
        <v>14</v>
      </c>
      <c r="O83" s="12">
        <v>6.28</v>
      </c>
      <c r="P83" s="21">
        <f t="shared" si="36"/>
        <v>20.28</v>
      </c>
      <c r="Q83" s="64">
        <f t="shared" si="52"/>
        <v>46076.160000000003</v>
      </c>
      <c r="R83" s="64"/>
      <c r="S83" s="10">
        <f t="shared" si="37"/>
        <v>95</v>
      </c>
      <c r="T83" s="10">
        <f t="shared" si="38"/>
        <v>68</v>
      </c>
      <c r="U83" s="10">
        <f t="shared" si="39"/>
        <v>40</v>
      </c>
      <c r="V83" s="10">
        <f t="shared" si="40"/>
        <v>84</v>
      </c>
      <c r="W83" s="10">
        <f t="shared" si="41"/>
        <v>51</v>
      </c>
      <c r="X83" s="10">
        <f t="shared" si="42"/>
        <v>81</v>
      </c>
      <c r="Y83" s="10">
        <f t="shared" si="43"/>
        <v>99</v>
      </c>
      <c r="Z83" s="10">
        <f t="shared" si="44"/>
        <v>72</v>
      </c>
      <c r="AA83" s="10">
        <f t="shared" si="45"/>
        <v>9</v>
      </c>
      <c r="AB83" s="22">
        <f t="shared" si="46"/>
        <v>68.860000000000014</v>
      </c>
      <c r="AC83" s="23">
        <f t="shared" si="47"/>
        <v>105</v>
      </c>
      <c r="AE83" s="55">
        <f t="shared" si="53"/>
        <v>78</v>
      </c>
      <c r="AF83" s="22">
        <f t="shared" si="48"/>
        <v>62.239999999999995</v>
      </c>
      <c r="AG83" s="9" t="str">
        <f t="shared" si="49"/>
        <v>3490 Laird Rd</v>
      </c>
      <c r="AH83" s="56" t="str">
        <f t="shared" si="50"/>
        <v>4-5</v>
      </c>
    </row>
    <row r="84" spans="1:34" ht="16" x14ac:dyDescent="0.2">
      <c r="A84" s="9" t="s">
        <v>90</v>
      </c>
      <c r="B84" s="10">
        <v>117</v>
      </c>
      <c r="C84" s="15" t="s">
        <v>142</v>
      </c>
      <c r="D84" s="10">
        <v>1974</v>
      </c>
      <c r="E84" s="10">
        <v>14</v>
      </c>
      <c r="F84" s="18">
        <v>0.25</v>
      </c>
      <c r="G84" s="19">
        <v>1.21</v>
      </c>
      <c r="H84" s="13">
        <v>2288</v>
      </c>
      <c r="I84" s="20">
        <f t="shared" si="35"/>
        <v>88</v>
      </c>
      <c r="J84" s="20">
        <v>55703</v>
      </c>
      <c r="K84" s="67">
        <f t="shared" si="51"/>
        <v>4.1074986984543024E-2</v>
      </c>
      <c r="L84" s="10">
        <v>3</v>
      </c>
      <c r="M84" s="22">
        <v>7.4</v>
      </c>
      <c r="N84" s="12">
        <v>14</v>
      </c>
      <c r="O84" s="12">
        <v>6.28</v>
      </c>
      <c r="P84" s="21">
        <f t="shared" si="36"/>
        <v>20.28</v>
      </c>
      <c r="Q84" s="64">
        <f t="shared" si="52"/>
        <v>46400.639999999999</v>
      </c>
      <c r="R84" s="64"/>
      <c r="S84" s="10">
        <f t="shared" si="37"/>
        <v>95</v>
      </c>
      <c r="T84" s="10">
        <f t="shared" si="38"/>
        <v>68</v>
      </c>
      <c r="U84" s="10">
        <f t="shared" si="39"/>
        <v>40</v>
      </c>
      <c r="V84" s="10">
        <f t="shared" si="40"/>
        <v>84</v>
      </c>
      <c r="W84" s="10">
        <f t="shared" si="41"/>
        <v>51</v>
      </c>
      <c r="X84" s="10">
        <f t="shared" si="42"/>
        <v>81</v>
      </c>
      <c r="Y84" s="10">
        <f t="shared" si="43"/>
        <v>99</v>
      </c>
      <c r="Z84" s="10">
        <f t="shared" si="44"/>
        <v>72</v>
      </c>
      <c r="AA84" s="10">
        <f t="shared" si="45"/>
        <v>15</v>
      </c>
      <c r="AB84" s="22">
        <f t="shared" si="46"/>
        <v>69.460000000000008</v>
      </c>
      <c r="AC84" s="23">
        <f t="shared" si="47"/>
        <v>110</v>
      </c>
      <c r="AE84" s="55">
        <f t="shared" si="53"/>
        <v>79</v>
      </c>
      <c r="AF84" s="22">
        <f t="shared" si="48"/>
        <v>62.319999999999993</v>
      </c>
      <c r="AG84" s="9" t="str">
        <f t="shared" si="49"/>
        <v>2900 Argentia Road</v>
      </c>
      <c r="AH84" s="56">
        <f t="shared" si="50"/>
        <v>23</v>
      </c>
    </row>
    <row r="85" spans="1:34" ht="16" x14ac:dyDescent="0.2">
      <c r="A85" s="9" t="s">
        <v>90</v>
      </c>
      <c r="B85" s="10">
        <v>118</v>
      </c>
      <c r="C85" s="15" t="s">
        <v>142</v>
      </c>
      <c r="D85" s="10">
        <v>1974</v>
      </c>
      <c r="E85" s="10">
        <v>14</v>
      </c>
      <c r="F85" s="18">
        <v>0.25</v>
      </c>
      <c r="G85" s="19">
        <v>1.21</v>
      </c>
      <c r="H85" s="13">
        <v>2278</v>
      </c>
      <c r="I85" s="20">
        <f t="shared" si="35"/>
        <v>78</v>
      </c>
      <c r="J85" s="20">
        <v>55703</v>
      </c>
      <c r="K85" s="67">
        <f t="shared" si="51"/>
        <v>4.0895463440030158E-2</v>
      </c>
      <c r="L85" s="10">
        <v>3</v>
      </c>
      <c r="M85" s="22">
        <v>7.4</v>
      </c>
      <c r="N85" s="12">
        <v>14</v>
      </c>
      <c r="O85" s="12">
        <v>6.28</v>
      </c>
      <c r="P85" s="21">
        <f t="shared" si="36"/>
        <v>20.28</v>
      </c>
      <c r="Q85" s="64">
        <f t="shared" si="52"/>
        <v>46197.840000000004</v>
      </c>
      <c r="R85" s="64"/>
      <c r="S85" s="10">
        <f t="shared" si="37"/>
        <v>95</v>
      </c>
      <c r="T85" s="10">
        <f t="shared" si="38"/>
        <v>68</v>
      </c>
      <c r="U85" s="10">
        <f t="shared" si="39"/>
        <v>40</v>
      </c>
      <c r="V85" s="10">
        <f t="shared" si="40"/>
        <v>84</v>
      </c>
      <c r="W85" s="10">
        <f t="shared" si="41"/>
        <v>51</v>
      </c>
      <c r="X85" s="10">
        <f t="shared" si="42"/>
        <v>81</v>
      </c>
      <c r="Y85" s="10">
        <f t="shared" si="43"/>
        <v>99</v>
      </c>
      <c r="Z85" s="10">
        <f t="shared" si="44"/>
        <v>72</v>
      </c>
      <c r="AA85" s="10">
        <f t="shared" si="45"/>
        <v>12</v>
      </c>
      <c r="AB85" s="22">
        <f t="shared" si="46"/>
        <v>69.160000000000011</v>
      </c>
      <c r="AC85" s="23">
        <f t="shared" si="47"/>
        <v>107</v>
      </c>
      <c r="AE85" s="55">
        <f t="shared" si="53"/>
        <v>80</v>
      </c>
      <c r="AF85" s="22">
        <f t="shared" si="48"/>
        <v>62.67</v>
      </c>
      <c r="AG85" s="9" t="str">
        <f t="shared" si="49"/>
        <v>2405 Drew Rd</v>
      </c>
      <c r="AH85" s="56">
        <f t="shared" si="50"/>
        <v>7</v>
      </c>
    </row>
    <row r="86" spans="1:34" ht="16" x14ac:dyDescent="0.2">
      <c r="A86" s="9" t="s">
        <v>89</v>
      </c>
      <c r="B86" s="11" t="s">
        <v>91</v>
      </c>
      <c r="C86" s="15" t="s">
        <v>142</v>
      </c>
      <c r="D86" s="10">
        <v>1974</v>
      </c>
      <c r="E86" s="10">
        <v>14</v>
      </c>
      <c r="F86" s="18">
        <v>0.25</v>
      </c>
      <c r="G86" s="19">
        <v>1.41</v>
      </c>
      <c r="H86" s="13">
        <v>4477</v>
      </c>
      <c r="I86" s="20">
        <f t="shared" si="35"/>
        <v>2277</v>
      </c>
      <c r="J86" s="20">
        <v>55703</v>
      </c>
      <c r="K86" s="67">
        <f t="shared" si="51"/>
        <v>8.0372690878408704E-2</v>
      </c>
      <c r="L86" s="10">
        <v>3</v>
      </c>
      <c r="M86" s="22">
        <v>7.4</v>
      </c>
      <c r="N86" s="12">
        <v>14</v>
      </c>
      <c r="O86" s="12">
        <v>6.28</v>
      </c>
      <c r="P86" s="21">
        <f t="shared" si="36"/>
        <v>20.28</v>
      </c>
      <c r="Q86" s="64">
        <f t="shared" si="52"/>
        <v>90793.560000000012</v>
      </c>
      <c r="R86" s="64"/>
      <c r="S86" s="10">
        <f t="shared" si="37"/>
        <v>95</v>
      </c>
      <c r="T86" s="10">
        <f t="shared" si="38"/>
        <v>68</v>
      </c>
      <c r="U86" s="10">
        <f t="shared" si="39"/>
        <v>40</v>
      </c>
      <c r="V86" s="10">
        <f t="shared" si="40"/>
        <v>57</v>
      </c>
      <c r="W86" s="10">
        <f t="shared" si="41"/>
        <v>51</v>
      </c>
      <c r="X86" s="10">
        <f t="shared" si="42"/>
        <v>81</v>
      </c>
      <c r="Y86" s="10">
        <f t="shared" si="43"/>
        <v>99</v>
      </c>
      <c r="Z86" s="10">
        <f t="shared" si="44"/>
        <v>72</v>
      </c>
      <c r="AA86" s="10">
        <f t="shared" si="45"/>
        <v>115</v>
      </c>
      <c r="AB86" s="22">
        <f t="shared" si="46"/>
        <v>75.41</v>
      </c>
      <c r="AC86" s="23">
        <f t="shared" si="47"/>
        <v>114</v>
      </c>
      <c r="AE86" s="55">
        <f t="shared" si="53"/>
        <v>81</v>
      </c>
      <c r="AF86" s="22">
        <f t="shared" si="48"/>
        <v>63.06</v>
      </c>
      <c r="AG86" s="9" t="str">
        <f t="shared" si="49"/>
        <v>1565 Britannia Rd E</v>
      </c>
      <c r="AH86" s="56">
        <f t="shared" si="50"/>
        <v>30</v>
      </c>
    </row>
    <row r="87" spans="1:34" ht="16" x14ac:dyDescent="0.2">
      <c r="A87" s="9" t="s">
        <v>89</v>
      </c>
      <c r="B87" s="10">
        <v>20</v>
      </c>
      <c r="C87" s="15" t="s">
        <v>142</v>
      </c>
      <c r="D87" s="10">
        <v>1974</v>
      </c>
      <c r="E87" s="10">
        <v>14</v>
      </c>
      <c r="F87" s="18">
        <v>0.3</v>
      </c>
      <c r="G87" s="19">
        <v>1.41</v>
      </c>
      <c r="H87" s="13">
        <v>1926</v>
      </c>
      <c r="I87" s="20">
        <f t="shared" si="35"/>
        <v>274</v>
      </c>
      <c r="J87" s="20">
        <v>55703</v>
      </c>
      <c r="K87" s="67">
        <f t="shared" si="51"/>
        <v>3.4576234673177386E-2</v>
      </c>
      <c r="L87" s="10">
        <v>3</v>
      </c>
      <c r="M87" s="22">
        <v>7.4</v>
      </c>
      <c r="N87" s="12">
        <v>14</v>
      </c>
      <c r="O87" s="12">
        <v>6.28</v>
      </c>
      <c r="P87" s="21">
        <f t="shared" si="36"/>
        <v>20.28</v>
      </c>
      <c r="Q87" s="64">
        <f t="shared" si="52"/>
        <v>39059.279999999999</v>
      </c>
      <c r="R87" s="64"/>
      <c r="S87" s="10">
        <f t="shared" si="37"/>
        <v>95</v>
      </c>
      <c r="T87" s="10">
        <f t="shared" si="38"/>
        <v>68</v>
      </c>
      <c r="U87" s="10">
        <f t="shared" si="39"/>
        <v>37</v>
      </c>
      <c r="V87" s="10">
        <f t="shared" si="40"/>
        <v>57</v>
      </c>
      <c r="W87" s="10">
        <f t="shared" si="41"/>
        <v>51</v>
      </c>
      <c r="X87" s="10">
        <f t="shared" si="42"/>
        <v>81</v>
      </c>
      <c r="Y87" s="10">
        <f t="shared" si="43"/>
        <v>99</v>
      </c>
      <c r="Z87" s="10">
        <f t="shared" si="44"/>
        <v>72</v>
      </c>
      <c r="AA87" s="10">
        <f t="shared" si="45"/>
        <v>35</v>
      </c>
      <c r="AB87" s="22">
        <f t="shared" si="46"/>
        <v>67.11</v>
      </c>
      <c r="AC87" s="23">
        <f t="shared" si="47"/>
        <v>96</v>
      </c>
      <c r="AE87" s="55">
        <f t="shared" si="53"/>
        <v>82</v>
      </c>
      <c r="AF87" s="22">
        <f t="shared" si="48"/>
        <v>63.33</v>
      </c>
      <c r="AG87" s="9" t="str">
        <f t="shared" si="49"/>
        <v>3495 Laird Rd</v>
      </c>
      <c r="AH87" s="56">
        <f t="shared" si="50"/>
        <v>20</v>
      </c>
    </row>
    <row r="88" spans="1:34" ht="16" x14ac:dyDescent="0.2">
      <c r="A88" s="9" t="s">
        <v>89</v>
      </c>
      <c r="B88" s="10">
        <v>16</v>
      </c>
      <c r="C88" s="15" t="s">
        <v>142</v>
      </c>
      <c r="D88" s="10">
        <v>1974</v>
      </c>
      <c r="E88" s="10">
        <v>14</v>
      </c>
      <c r="F88" s="18">
        <v>0.25</v>
      </c>
      <c r="G88" s="19">
        <v>1.41</v>
      </c>
      <c r="H88" s="13">
        <v>4509</v>
      </c>
      <c r="I88" s="20">
        <f t="shared" si="35"/>
        <v>2309</v>
      </c>
      <c r="J88" s="20">
        <v>55703</v>
      </c>
      <c r="K88" s="67">
        <f t="shared" si="51"/>
        <v>8.0947166220849867E-2</v>
      </c>
      <c r="L88" s="10">
        <v>3</v>
      </c>
      <c r="M88" s="22">
        <v>7.4</v>
      </c>
      <c r="N88" s="12">
        <v>14</v>
      </c>
      <c r="O88" s="12">
        <v>6.28</v>
      </c>
      <c r="P88" s="21">
        <f t="shared" si="36"/>
        <v>20.28</v>
      </c>
      <c r="Q88" s="64">
        <f t="shared" si="52"/>
        <v>91442.52</v>
      </c>
      <c r="R88" s="64"/>
      <c r="S88" s="10">
        <f t="shared" si="37"/>
        <v>95</v>
      </c>
      <c r="T88" s="10">
        <f t="shared" si="38"/>
        <v>68</v>
      </c>
      <c r="U88" s="10">
        <f t="shared" si="39"/>
        <v>40</v>
      </c>
      <c r="V88" s="10">
        <f t="shared" si="40"/>
        <v>57</v>
      </c>
      <c r="W88" s="10">
        <f t="shared" si="41"/>
        <v>51</v>
      </c>
      <c r="X88" s="10">
        <f t="shared" si="42"/>
        <v>81</v>
      </c>
      <c r="Y88" s="10">
        <f t="shared" si="43"/>
        <v>99</v>
      </c>
      <c r="Z88" s="10">
        <f t="shared" si="44"/>
        <v>72</v>
      </c>
      <c r="AA88" s="10">
        <f t="shared" si="45"/>
        <v>117</v>
      </c>
      <c r="AB88" s="22">
        <f t="shared" si="46"/>
        <v>75.61</v>
      </c>
      <c r="AC88" s="23">
        <f t="shared" si="47"/>
        <v>118</v>
      </c>
      <c r="AE88" s="55">
        <f t="shared" si="53"/>
        <v>83</v>
      </c>
      <c r="AF88" s="22">
        <f t="shared" si="48"/>
        <v>63.339999999999996</v>
      </c>
      <c r="AG88" s="9" t="str">
        <f t="shared" si="49"/>
        <v>3170 Ridgeway Dr</v>
      </c>
      <c r="AH88" s="56">
        <f t="shared" si="50"/>
        <v>8</v>
      </c>
    </row>
    <row r="89" spans="1:34" ht="16" x14ac:dyDescent="0.2">
      <c r="A89" s="9" t="s">
        <v>90</v>
      </c>
      <c r="B89" s="10" t="s">
        <v>92</v>
      </c>
      <c r="C89" s="15" t="s">
        <v>142</v>
      </c>
      <c r="D89" s="10">
        <v>1974</v>
      </c>
      <c r="E89" s="10">
        <v>14</v>
      </c>
      <c r="F89" s="18">
        <v>0.25</v>
      </c>
      <c r="G89" s="19">
        <v>1.21</v>
      </c>
      <c r="H89" s="13">
        <v>4547</v>
      </c>
      <c r="I89" s="20">
        <f t="shared" si="35"/>
        <v>2347</v>
      </c>
      <c r="J89" s="20">
        <v>55703</v>
      </c>
      <c r="K89" s="67">
        <f t="shared" si="51"/>
        <v>8.1629355689998739E-2</v>
      </c>
      <c r="L89" s="10">
        <v>3</v>
      </c>
      <c r="M89" s="22">
        <v>7.4</v>
      </c>
      <c r="N89" s="12">
        <v>14</v>
      </c>
      <c r="O89" s="12">
        <v>6.28</v>
      </c>
      <c r="P89" s="21">
        <f t="shared" si="36"/>
        <v>20.28</v>
      </c>
      <c r="Q89" s="64">
        <f t="shared" si="52"/>
        <v>92213.16</v>
      </c>
      <c r="R89" s="64"/>
      <c r="S89" s="10">
        <f t="shared" si="37"/>
        <v>95</v>
      </c>
      <c r="T89" s="10">
        <f t="shared" si="38"/>
        <v>68</v>
      </c>
      <c r="U89" s="10">
        <f t="shared" si="39"/>
        <v>40</v>
      </c>
      <c r="V89" s="10">
        <f t="shared" si="40"/>
        <v>84</v>
      </c>
      <c r="W89" s="10">
        <f t="shared" si="41"/>
        <v>51</v>
      </c>
      <c r="X89" s="10">
        <f t="shared" si="42"/>
        <v>81</v>
      </c>
      <c r="Y89" s="10">
        <f t="shared" si="43"/>
        <v>99</v>
      </c>
      <c r="Z89" s="10">
        <f t="shared" si="44"/>
        <v>72</v>
      </c>
      <c r="AA89" s="10">
        <f t="shared" si="45"/>
        <v>119</v>
      </c>
      <c r="AB89" s="22">
        <f t="shared" si="46"/>
        <v>79.860000000000014</v>
      </c>
      <c r="AC89" s="23">
        <f t="shared" si="47"/>
        <v>119</v>
      </c>
      <c r="AE89" s="55">
        <f t="shared" si="53"/>
        <v>84</v>
      </c>
      <c r="AF89" s="22">
        <f t="shared" si="48"/>
        <v>64.09</v>
      </c>
      <c r="AG89" s="9" t="str">
        <f t="shared" si="49"/>
        <v>3715 Laird Road</v>
      </c>
      <c r="AH89" s="56">
        <f t="shared" si="50"/>
        <v>9</v>
      </c>
    </row>
    <row r="90" spans="1:34" ht="16" x14ac:dyDescent="0.2">
      <c r="A90" s="9" t="s">
        <v>90</v>
      </c>
      <c r="B90" s="10">
        <v>120</v>
      </c>
      <c r="C90" s="15" t="s">
        <v>142</v>
      </c>
      <c r="D90" s="10">
        <v>1974</v>
      </c>
      <c r="E90" s="10">
        <v>14</v>
      </c>
      <c r="F90" s="18">
        <v>0.25</v>
      </c>
      <c r="G90" s="19">
        <v>1.21</v>
      </c>
      <c r="H90" s="13">
        <v>2261</v>
      </c>
      <c r="I90" s="20">
        <f t="shared" si="35"/>
        <v>61</v>
      </c>
      <c r="J90" s="20">
        <v>55703</v>
      </c>
      <c r="K90" s="67">
        <f t="shared" si="51"/>
        <v>4.0590273414358294E-2</v>
      </c>
      <c r="L90" s="10">
        <v>3</v>
      </c>
      <c r="M90" s="22">
        <v>7.4</v>
      </c>
      <c r="N90" s="12">
        <v>14</v>
      </c>
      <c r="O90" s="12">
        <v>6.28</v>
      </c>
      <c r="P90" s="21">
        <f t="shared" si="36"/>
        <v>20.28</v>
      </c>
      <c r="Q90" s="64">
        <f t="shared" si="52"/>
        <v>45853.08</v>
      </c>
      <c r="R90" s="64"/>
      <c r="S90" s="10">
        <f t="shared" si="37"/>
        <v>95</v>
      </c>
      <c r="T90" s="10">
        <f t="shared" si="38"/>
        <v>68</v>
      </c>
      <c r="U90" s="10">
        <f t="shared" si="39"/>
        <v>40</v>
      </c>
      <c r="V90" s="10">
        <f t="shared" si="40"/>
        <v>84</v>
      </c>
      <c r="W90" s="10">
        <f t="shared" si="41"/>
        <v>51</v>
      </c>
      <c r="X90" s="10">
        <f t="shared" si="42"/>
        <v>81</v>
      </c>
      <c r="Y90" s="10">
        <f t="shared" si="43"/>
        <v>99</v>
      </c>
      <c r="Z90" s="10">
        <f t="shared" si="44"/>
        <v>72</v>
      </c>
      <c r="AA90" s="10">
        <f t="shared" si="45"/>
        <v>7</v>
      </c>
      <c r="AB90" s="22">
        <f t="shared" si="46"/>
        <v>68.660000000000011</v>
      </c>
      <c r="AC90" s="23">
        <f t="shared" si="47"/>
        <v>104</v>
      </c>
      <c r="AE90" s="55">
        <f t="shared" si="53"/>
        <v>85</v>
      </c>
      <c r="AF90" s="22">
        <f t="shared" si="48"/>
        <v>64.41</v>
      </c>
      <c r="AG90" s="9" t="str">
        <f t="shared" si="49"/>
        <v>2455 Cawthra Rd</v>
      </c>
      <c r="AH90" s="56">
        <f t="shared" si="50"/>
        <v>14</v>
      </c>
    </row>
    <row r="91" spans="1:34" ht="16" x14ac:dyDescent="0.2">
      <c r="A91" s="9" t="s">
        <v>90</v>
      </c>
      <c r="B91" s="10">
        <v>123</v>
      </c>
      <c r="C91" s="15" t="s">
        <v>142</v>
      </c>
      <c r="D91" s="10">
        <v>1974</v>
      </c>
      <c r="E91" s="10">
        <v>14</v>
      </c>
      <c r="F91" s="18">
        <v>0.25</v>
      </c>
      <c r="G91" s="19">
        <v>1.21</v>
      </c>
      <c r="H91" s="13">
        <v>4562</v>
      </c>
      <c r="I91" s="20">
        <f t="shared" si="35"/>
        <v>2362</v>
      </c>
      <c r="J91" s="20">
        <v>55703</v>
      </c>
      <c r="K91" s="67">
        <f t="shared" si="51"/>
        <v>8.1898641006768039E-2</v>
      </c>
      <c r="L91" s="10">
        <v>3</v>
      </c>
      <c r="M91" s="22">
        <v>7.4</v>
      </c>
      <c r="N91" s="12">
        <v>14</v>
      </c>
      <c r="O91" s="12">
        <v>6.28</v>
      </c>
      <c r="P91" s="21">
        <f t="shared" si="36"/>
        <v>20.28</v>
      </c>
      <c r="Q91" s="64">
        <f t="shared" si="52"/>
        <v>92517.36</v>
      </c>
      <c r="R91" s="64"/>
      <c r="S91" s="10">
        <f t="shared" si="37"/>
        <v>95</v>
      </c>
      <c r="T91" s="10">
        <f t="shared" si="38"/>
        <v>68</v>
      </c>
      <c r="U91" s="10">
        <f t="shared" si="39"/>
        <v>40</v>
      </c>
      <c r="V91" s="10">
        <f t="shared" si="40"/>
        <v>84</v>
      </c>
      <c r="W91" s="10">
        <f t="shared" si="41"/>
        <v>51</v>
      </c>
      <c r="X91" s="10">
        <f t="shared" si="42"/>
        <v>81</v>
      </c>
      <c r="Y91" s="10">
        <f t="shared" si="43"/>
        <v>99</v>
      </c>
      <c r="Z91" s="10">
        <f t="shared" si="44"/>
        <v>72</v>
      </c>
      <c r="AA91" s="10">
        <f t="shared" si="45"/>
        <v>120</v>
      </c>
      <c r="AB91" s="22">
        <f t="shared" si="46"/>
        <v>79.960000000000008</v>
      </c>
      <c r="AC91" s="23">
        <f t="shared" si="47"/>
        <v>120</v>
      </c>
      <c r="AE91" s="55">
        <f t="shared" si="53"/>
        <v>86</v>
      </c>
      <c r="AF91" s="22">
        <f t="shared" si="48"/>
        <v>64.52</v>
      </c>
      <c r="AG91" s="9" t="str">
        <f t="shared" si="49"/>
        <v>1200 Aerowood Dr</v>
      </c>
      <c r="AH91" s="56">
        <f t="shared" si="50"/>
        <v>9</v>
      </c>
    </row>
    <row r="92" spans="1:34" ht="16" x14ac:dyDescent="0.2">
      <c r="A92" s="9" t="s">
        <v>93</v>
      </c>
      <c r="B92" s="10">
        <v>8</v>
      </c>
      <c r="C92" s="15" t="s">
        <v>137</v>
      </c>
      <c r="D92" s="10">
        <v>1990</v>
      </c>
      <c r="E92" s="10">
        <v>15.6</v>
      </c>
      <c r="F92" s="18">
        <v>0.2</v>
      </c>
      <c r="G92" s="19">
        <v>1.57</v>
      </c>
      <c r="H92" s="13">
        <v>1882</v>
      </c>
      <c r="I92" s="20">
        <f t="shared" si="35"/>
        <v>318</v>
      </c>
      <c r="J92" s="20">
        <v>48178</v>
      </c>
      <c r="K92" s="67">
        <f t="shared" si="51"/>
        <v>3.906347295446054E-2</v>
      </c>
      <c r="L92" s="10">
        <v>2</v>
      </c>
      <c r="M92" s="22">
        <v>17.399999999999999</v>
      </c>
      <c r="N92" s="12">
        <v>14</v>
      </c>
      <c r="O92" s="12">
        <v>5.98</v>
      </c>
      <c r="P92" s="21">
        <f t="shared" si="36"/>
        <v>19.98</v>
      </c>
      <c r="Q92" s="64">
        <f t="shared" si="52"/>
        <v>37602.36</v>
      </c>
      <c r="R92" s="64"/>
      <c r="S92" s="10">
        <f t="shared" si="37"/>
        <v>20</v>
      </c>
      <c r="T92" s="10">
        <f t="shared" si="38"/>
        <v>65</v>
      </c>
      <c r="U92" s="10">
        <f t="shared" si="39"/>
        <v>73</v>
      </c>
      <c r="V92" s="10">
        <f t="shared" si="40"/>
        <v>43</v>
      </c>
      <c r="W92" s="10">
        <f t="shared" si="41"/>
        <v>115</v>
      </c>
      <c r="X92" s="10">
        <f t="shared" si="42"/>
        <v>81</v>
      </c>
      <c r="Y92" s="10">
        <f t="shared" si="43"/>
        <v>87</v>
      </c>
      <c r="Z92" s="10">
        <f t="shared" si="44"/>
        <v>15</v>
      </c>
      <c r="AA92" s="10">
        <f t="shared" si="45"/>
        <v>38</v>
      </c>
      <c r="AB92" s="22">
        <f t="shared" si="46"/>
        <v>63.339999999999996</v>
      </c>
      <c r="AC92" s="23">
        <f t="shared" si="47"/>
        <v>83</v>
      </c>
      <c r="AE92" s="55">
        <f t="shared" si="53"/>
        <v>87</v>
      </c>
      <c r="AF92" s="22">
        <f t="shared" si="48"/>
        <v>64.819999999999993</v>
      </c>
      <c r="AG92" s="9" t="str">
        <f t="shared" si="49"/>
        <v>1200 Aerowood Dr</v>
      </c>
      <c r="AH92" s="56">
        <f t="shared" si="50"/>
        <v>44</v>
      </c>
    </row>
    <row r="93" spans="1:34" ht="16" x14ac:dyDescent="0.2">
      <c r="A93" s="9" t="s">
        <v>94</v>
      </c>
      <c r="B93" s="10">
        <v>26</v>
      </c>
      <c r="C93" s="15" t="s">
        <v>137</v>
      </c>
      <c r="D93" s="10">
        <v>1988</v>
      </c>
      <c r="E93" s="10">
        <v>15.5</v>
      </c>
      <c r="F93" s="18">
        <v>0.2</v>
      </c>
      <c r="G93" s="19">
        <v>1.68</v>
      </c>
      <c r="H93" s="13">
        <v>2051</v>
      </c>
      <c r="I93" s="20">
        <f t="shared" si="35"/>
        <v>149</v>
      </c>
      <c r="J93" s="20">
        <v>41773</v>
      </c>
      <c r="K93" s="67">
        <f t="shared" si="51"/>
        <v>4.909870011730065E-2</v>
      </c>
      <c r="L93" s="10">
        <v>2</v>
      </c>
      <c r="M93" s="22">
        <v>14.9</v>
      </c>
      <c r="N93" s="12">
        <v>14</v>
      </c>
      <c r="O93" s="12">
        <v>6.2</v>
      </c>
      <c r="P93" s="21">
        <f t="shared" si="36"/>
        <v>20.2</v>
      </c>
      <c r="Q93" s="64">
        <f t="shared" si="52"/>
        <v>41430.199999999997</v>
      </c>
      <c r="R93" s="64"/>
      <c r="S93" s="10">
        <f t="shared" si="37"/>
        <v>34</v>
      </c>
      <c r="T93" s="10">
        <f t="shared" si="38"/>
        <v>66</v>
      </c>
      <c r="U93" s="10">
        <f t="shared" si="39"/>
        <v>73</v>
      </c>
      <c r="V93" s="10">
        <f t="shared" si="40"/>
        <v>39</v>
      </c>
      <c r="W93" s="10">
        <f t="shared" si="41"/>
        <v>104</v>
      </c>
      <c r="X93" s="10">
        <f t="shared" si="42"/>
        <v>81</v>
      </c>
      <c r="Y93" s="10">
        <f t="shared" si="43"/>
        <v>91</v>
      </c>
      <c r="Z93" s="10">
        <f t="shared" si="44"/>
        <v>15</v>
      </c>
      <c r="AA93" s="10">
        <f t="shared" si="45"/>
        <v>20</v>
      </c>
      <c r="AB93" s="22">
        <f t="shared" si="46"/>
        <v>61.62</v>
      </c>
      <c r="AC93" s="23">
        <f t="shared" si="47"/>
        <v>76</v>
      </c>
      <c r="AE93" s="55">
        <f t="shared" si="53"/>
        <v>88</v>
      </c>
      <c r="AF93" s="22">
        <f t="shared" si="48"/>
        <v>65.06</v>
      </c>
      <c r="AG93" s="9" t="str">
        <f t="shared" si="49"/>
        <v>2773 Thamesgate Dr</v>
      </c>
      <c r="AH93" s="56">
        <f t="shared" si="50"/>
        <v>0</v>
      </c>
    </row>
    <row r="94" spans="1:34" ht="16" x14ac:dyDescent="0.2">
      <c r="A94" s="9" t="s">
        <v>95</v>
      </c>
      <c r="B94" s="10"/>
      <c r="C94" s="15" t="s">
        <v>147</v>
      </c>
      <c r="D94" s="10">
        <v>1980</v>
      </c>
      <c r="E94" s="10">
        <v>14</v>
      </c>
      <c r="F94" s="18">
        <v>0</v>
      </c>
      <c r="G94" s="25">
        <v>1.5</v>
      </c>
      <c r="H94" s="13">
        <v>4002</v>
      </c>
      <c r="I94" s="20">
        <f t="shared" si="35"/>
        <v>1802</v>
      </c>
      <c r="J94" s="20">
        <v>39000</v>
      </c>
      <c r="K94" s="67">
        <f t="shared" si="51"/>
        <v>0.10261538461538462</v>
      </c>
      <c r="L94" s="10">
        <v>2</v>
      </c>
      <c r="M94" s="22">
        <v>13.2</v>
      </c>
      <c r="N94" s="12">
        <v>14</v>
      </c>
      <c r="O94" s="12">
        <v>5.52</v>
      </c>
      <c r="P94" s="21">
        <f t="shared" si="36"/>
        <v>19.52</v>
      </c>
      <c r="Q94" s="64">
        <f t="shared" si="52"/>
        <v>78119.039999999994</v>
      </c>
      <c r="R94" s="64"/>
      <c r="S94" s="10">
        <f t="shared" si="37"/>
        <v>58</v>
      </c>
      <c r="T94" s="10">
        <f t="shared" si="38"/>
        <v>68</v>
      </c>
      <c r="U94" s="10">
        <f t="shared" si="39"/>
        <v>122</v>
      </c>
      <c r="V94" s="10">
        <f t="shared" si="40"/>
        <v>47</v>
      </c>
      <c r="W94" s="10">
        <f t="shared" si="41"/>
        <v>98</v>
      </c>
      <c r="X94" s="10">
        <f t="shared" si="42"/>
        <v>81</v>
      </c>
      <c r="Y94" s="10">
        <f t="shared" si="43"/>
        <v>75</v>
      </c>
      <c r="Z94" s="10">
        <f t="shared" si="44"/>
        <v>15</v>
      </c>
      <c r="AA94" s="10">
        <f t="shared" si="45"/>
        <v>105</v>
      </c>
      <c r="AB94" s="22">
        <f t="shared" si="46"/>
        <v>75.5</v>
      </c>
      <c r="AC94" s="23">
        <f t="shared" si="47"/>
        <v>116</v>
      </c>
      <c r="AE94" s="55">
        <f t="shared" si="53"/>
        <v>89</v>
      </c>
      <c r="AF94" s="22">
        <f t="shared" si="48"/>
        <v>65.069999999999993</v>
      </c>
      <c r="AG94" s="9" t="str">
        <f t="shared" si="49"/>
        <v>7270 Torbram Rd</v>
      </c>
      <c r="AH94" s="56" t="str">
        <f t="shared" si="50"/>
        <v>10-11</v>
      </c>
    </row>
    <row r="95" spans="1:34" ht="16" x14ac:dyDescent="0.2">
      <c r="A95" s="9" t="s">
        <v>87</v>
      </c>
      <c r="B95" s="10">
        <v>3</v>
      </c>
      <c r="C95" s="15" t="s">
        <v>146</v>
      </c>
      <c r="D95" s="10">
        <v>1990</v>
      </c>
      <c r="E95" s="10">
        <v>18.899999999999999</v>
      </c>
      <c r="F95" s="18">
        <v>0.34</v>
      </c>
      <c r="G95" s="19">
        <v>1.24</v>
      </c>
      <c r="H95" s="13">
        <v>2022</v>
      </c>
      <c r="I95" s="20">
        <f t="shared" si="35"/>
        <v>178</v>
      </c>
      <c r="J95" s="20">
        <v>22860</v>
      </c>
      <c r="K95" s="67">
        <f t="shared" si="51"/>
        <v>8.8451443569553811E-2</v>
      </c>
      <c r="L95" s="10">
        <v>2</v>
      </c>
      <c r="M95" s="22">
        <v>18.899999999999999</v>
      </c>
      <c r="N95" s="12">
        <v>14.5</v>
      </c>
      <c r="O95" s="12">
        <v>4.66</v>
      </c>
      <c r="P95" s="21">
        <f t="shared" si="36"/>
        <v>19.16</v>
      </c>
      <c r="Q95" s="64">
        <f t="shared" si="52"/>
        <v>38741.519999999997</v>
      </c>
      <c r="R95" s="64"/>
      <c r="S95" s="10">
        <f t="shared" si="37"/>
        <v>20</v>
      </c>
      <c r="T95" s="10">
        <f t="shared" si="38"/>
        <v>14</v>
      </c>
      <c r="U95" s="10">
        <f t="shared" si="39"/>
        <v>28</v>
      </c>
      <c r="V95" s="10">
        <f t="shared" si="40"/>
        <v>81</v>
      </c>
      <c r="W95" s="10">
        <f t="shared" si="41"/>
        <v>118</v>
      </c>
      <c r="X95" s="10">
        <f t="shared" si="42"/>
        <v>104</v>
      </c>
      <c r="Y95" s="10">
        <f t="shared" si="43"/>
        <v>22</v>
      </c>
      <c r="Z95" s="10">
        <f t="shared" si="44"/>
        <v>15</v>
      </c>
      <c r="AA95" s="10">
        <f t="shared" si="45"/>
        <v>27</v>
      </c>
      <c r="AB95" s="22">
        <f t="shared" si="46"/>
        <v>53.22</v>
      </c>
      <c r="AC95" s="23">
        <f t="shared" si="47"/>
        <v>48</v>
      </c>
      <c r="AE95" s="55">
        <f t="shared" si="53"/>
        <v>90</v>
      </c>
      <c r="AF95" s="22">
        <f t="shared" si="48"/>
        <v>65.62</v>
      </c>
      <c r="AG95" s="9" t="str">
        <f t="shared" si="49"/>
        <v>1200 Aerowood Dr</v>
      </c>
      <c r="AH95" s="56">
        <f t="shared" si="50"/>
        <v>12</v>
      </c>
    </row>
    <row r="96" spans="1:34" ht="16" x14ac:dyDescent="0.2">
      <c r="A96" s="9" t="s">
        <v>96</v>
      </c>
      <c r="B96" s="10">
        <v>20</v>
      </c>
      <c r="C96" s="15" t="s">
        <v>137</v>
      </c>
      <c r="D96" s="10">
        <v>2000</v>
      </c>
      <c r="E96" s="10">
        <v>16.100000000000001</v>
      </c>
      <c r="F96" s="18">
        <v>0.18</v>
      </c>
      <c r="G96" s="19">
        <v>1.76</v>
      </c>
      <c r="H96" s="13">
        <v>2763</v>
      </c>
      <c r="I96" s="20">
        <f t="shared" si="35"/>
        <v>563</v>
      </c>
      <c r="J96" s="20">
        <v>61253</v>
      </c>
      <c r="K96" s="67">
        <f t="shared" si="51"/>
        <v>4.5107994710463159E-2</v>
      </c>
      <c r="L96" s="10">
        <v>1</v>
      </c>
      <c r="M96" s="22">
        <v>18.899999999999999</v>
      </c>
      <c r="N96" s="12">
        <v>14.5</v>
      </c>
      <c r="O96" s="12">
        <v>5.52</v>
      </c>
      <c r="P96" s="21">
        <f t="shared" si="36"/>
        <v>20.02</v>
      </c>
      <c r="Q96" s="64">
        <f t="shared" si="52"/>
        <v>55315.26</v>
      </c>
      <c r="R96" s="64"/>
      <c r="S96" s="10">
        <f t="shared" si="37"/>
        <v>9</v>
      </c>
      <c r="T96" s="10">
        <f t="shared" si="38"/>
        <v>41</v>
      </c>
      <c r="U96" s="10">
        <f t="shared" si="39"/>
        <v>91</v>
      </c>
      <c r="V96" s="10">
        <f t="shared" si="40"/>
        <v>32</v>
      </c>
      <c r="W96" s="10">
        <f t="shared" si="41"/>
        <v>118</v>
      </c>
      <c r="X96" s="10">
        <f t="shared" si="42"/>
        <v>104</v>
      </c>
      <c r="Y96" s="10">
        <f t="shared" si="43"/>
        <v>75</v>
      </c>
      <c r="Z96" s="10">
        <f t="shared" si="44"/>
        <v>1</v>
      </c>
      <c r="AA96" s="10">
        <f t="shared" si="45"/>
        <v>56</v>
      </c>
      <c r="AB96" s="22">
        <f t="shared" si="46"/>
        <v>63.33</v>
      </c>
      <c r="AC96" s="23">
        <f t="shared" si="47"/>
        <v>82</v>
      </c>
      <c r="AE96" s="55">
        <f t="shared" si="53"/>
        <v>91</v>
      </c>
      <c r="AF96" s="22">
        <f t="shared" si="48"/>
        <v>65.75</v>
      </c>
      <c r="AG96" s="9" t="str">
        <f t="shared" si="49"/>
        <v>2711 Rena Rd</v>
      </c>
      <c r="AH96" s="56">
        <f t="shared" si="50"/>
        <v>0</v>
      </c>
    </row>
    <row r="97" spans="1:34" ht="16" x14ac:dyDescent="0.2">
      <c r="A97" s="9" t="s">
        <v>97</v>
      </c>
      <c r="B97" s="10">
        <v>3</v>
      </c>
      <c r="C97" s="15" t="s">
        <v>146</v>
      </c>
      <c r="D97" s="10">
        <v>2000</v>
      </c>
      <c r="E97" s="10">
        <v>22.6</v>
      </c>
      <c r="F97" s="18">
        <v>0.32</v>
      </c>
      <c r="G97" s="19">
        <v>1.43</v>
      </c>
      <c r="H97" s="13">
        <v>2777</v>
      </c>
      <c r="I97" s="20">
        <f t="shared" si="35"/>
        <v>577</v>
      </c>
      <c r="J97" s="20">
        <v>75662</v>
      </c>
      <c r="K97" s="67">
        <f t="shared" si="51"/>
        <v>3.6702704131532343E-2</v>
      </c>
      <c r="L97" s="10">
        <v>1</v>
      </c>
      <c r="M97" s="22">
        <v>17</v>
      </c>
      <c r="N97" s="12">
        <v>14.5</v>
      </c>
      <c r="O97" s="12">
        <v>4.96</v>
      </c>
      <c r="P97" s="21">
        <f t="shared" si="36"/>
        <v>19.46</v>
      </c>
      <c r="Q97" s="64">
        <f t="shared" si="52"/>
        <v>54040.420000000006</v>
      </c>
      <c r="R97" s="64"/>
      <c r="S97" s="10">
        <f t="shared" si="37"/>
        <v>9</v>
      </c>
      <c r="T97" s="10">
        <f t="shared" si="38"/>
        <v>4</v>
      </c>
      <c r="U97" s="10">
        <f t="shared" si="39"/>
        <v>34</v>
      </c>
      <c r="V97" s="10">
        <f t="shared" si="40"/>
        <v>53</v>
      </c>
      <c r="W97" s="10">
        <f t="shared" si="41"/>
        <v>112</v>
      </c>
      <c r="X97" s="10">
        <f t="shared" si="42"/>
        <v>104</v>
      </c>
      <c r="Y97" s="10">
        <f t="shared" si="43"/>
        <v>34</v>
      </c>
      <c r="Z97" s="10">
        <f t="shared" si="44"/>
        <v>1</v>
      </c>
      <c r="AA97" s="10">
        <f t="shared" si="45"/>
        <v>59</v>
      </c>
      <c r="AB97" s="22">
        <f t="shared" si="46"/>
        <v>51.04</v>
      </c>
      <c r="AC97" s="23">
        <f t="shared" si="47"/>
        <v>41</v>
      </c>
      <c r="AE97" s="55">
        <f t="shared" si="53"/>
        <v>92</v>
      </c>
      <c r="AF97" s="22">
        <f t="shared" si="48"/>
        <v>65.819999999999993</v>
      </c>
      <c r="AG97" s="9" t="str">
        <f t="shared" si="49"/>
        <v>1200 Aerowood Dr</v>
      </c>
      <c r="AH97" s="56">
        <f t="shared" si="50"/>
        <v>22</v>
      </c>
    </row>
    <row r="98" spans="1:34" ht="16" x14ac:dyDescent="0.2">
      <c r="A98" s="9" t="s">
        <v>98</v>
      </c>
      <c r="B98" s="10">
        <v>14</v>
      </c>
      <c r="C98" s="15" t="s">
        <v>146</v>
      </c>
      <c r="D98" s="10">
        <v>2000</v>
      </c>
      <c r="E98" s="10">
        <v>24.6</v>
      </c>
      <c r="F98" s="18">
        <v>0.6</v>
      </c>
      <c r="G98" s="19">
        <v>1.43</v>
      </c>
      <c r="H98" s="13">
        <v>3475</v>
      </c>
      <c r="I98" s="20">
        <f t="shared" si="35"/>
        <v>1275</v>
      </c>
      <c r="J98" s="20">
        <v>60561</v>
      </c>
      <c r="K98" s="67">
        <f t="shared" si="51"/>
        <v>5.7380162150558939E-2</v>
      </c>
      <c r="L98" s="10">
        <v>1</v>
      </c>
      <c r="M98" s="22">
        <v>15.5</v>
      </c>
      <c r="N98" s="12">
        <v>14.95</v>
      </c>
      <c r="O98" s="12">
        <v>4.66</v>
      </c>
      <c r="P98" s="21">
        <f t="shared" si="36"/>
        <v>19.61</v>
      </c>
      <c r="Q98" s="64">
        <f t="shared" si="52"/>
        <v>68144.75</v>
      </c>
      <c r="R98" s="64"/>
      <c r="S98" s="10">
        <f t="shared" si="37"/>
        <v>9</v>
      </c>
      <c r="T98" s="10">
        <f t="shared" si="38"/>
        <v>3</v>
      </c>
      <c r="U98" s="10">
        <f t="shared" si="39"/>
        <v>9</v>
      </c>
      <c r="V98" s="10">
        <f t="shared" si="40"/>
        <v>53</v>
      </c>
      <c r="W98" s="10">
        <f t="shared" si="41"/>
        <v>107</v>
      </c>
      <c r="X98" s="10">
        <f t="shared" si="42"/>
        <v>113</v>
      </c>
      <c r="Y98" s="10">
        <f t="shared" si="43"/>
        <v>22</v>
      </c>
      <c r="Z98" s="10">
        <f t="shared" si="44"/>
        <v>1</v>
      </c>
      <c r="AA98" s="10">
        <f t="shared" si="45"/>
        <v>96</v>
      </c>
      <c r="AB98" s="22">
        <f t="shared" si="46"/>
        <v>51.400000000000006</v>
      </c>
      <c r="AC98" s="23">
        <f t="shared" si="47"/>
        <v>42</v>
      </c>
      <c r="AE98" s="55">
        <f t="shared" si="53"/>
        <v>93</v>
      </c>
      <c r="AF98" s="22">
        <f t="shared" si="48"/>
        <v>65.92</v>
      </c>
      <c r="AG98" s="9" t="str">
        <f t="shared" si="49"/>
        <v>7050 Bramalea Road</v>
      </c>
      <c r="AH98" s="56">
        <f t="shared" si="50"/>
        <v>38</v>
      </c>
    </row>
    <row r="99" spans="1:34" ht="16" x14ac:dyDescent="0.2">
      <c r="A99" s="9" t="s">
        <v>99</v>
      </c>
      <c r="B99" s="10">
        <v>4</v>
      </c>
      <c r="C99" s="15" t="s">
        <v>146</v>
      </c>
      <c r="D99" s="10">
        <v>2001</v>
      </c>
      <c r="E99" s="10">
        <v>22</v>
      </c>
      <c r="F99" s="18">
        <v>0.34</v>
      </c>
      <c r="G99" s="19">
        <v>1.93</v>
      </c>
      <c r="H99" s="13">
        <v>3035</v>
      </c>
      <c r="I99" s="20">
        <f t="shared" si="35"/>
        <v>835</v>
      </c>
      <c r="J99" s="20">
        <v>36203</v>
      </c>
      <c r="K99" s="67">
        <f t="shared" si="51"/>
        <v>8.3832831533298346E-2</v>
      </c>
      <c r="L99" s="10">
        <v>1</v>
      </c>
      <c r="M99" s="22">
        <v>12.3</v>
      </c>
      <c r="N99" s="12">
        <v>14.95</v>
      </c>
      <c r="O99" s="12">
        <v>5.26</v>
      </c>
      <c r="P99" s="21">
        <f t="shared" si="36"/>
        <v>20.21</v>
      </c>
      <c r="Q99" s="64">
        <f t="shared" si="52"/>
        <v>61337.350000000006</v>
      </c>
      <c r="R99" s="64"/>
      <c r="S99" s="10">
        <f t="shared" si="37"/>
        <v>7</v>
      </c>
      <c r="T99" s="10">
        <f t="shared" si="38"/>
        <v>8</v>
      </c>
      <c r="U99" s="10">
        <f t="shared" si="39"/>
        <v>28</v>
      </c>
      <c r="V99" s="10">
        <f t="shared" si="40"/>
        <v>17</v>
      </c>
      <c r="W99" s="10">
        <f t="shared" si="41"/>
        <v>92</v>
      </c>
      <c r="X99" s="10">
        <f t="shared" si="42"/>
        <v>113</v>
      </c>
      <c r="Y99" s="10">
        <f t="shared" si="43"/>
        <v>60</v>
      </c>
      <c r="Z99" s="10">
        <f t="shared" si="44"/>
        <v>1</v>
      </c>
      <c r="AA99" s="10">
        <f t="shared" si="45"/>
        <v>73</v>
      </c>
      <c r="AB99" s="22">
        <f t="shared" si="46"/>
        <v>49.760000000000005</v>
      </c>
      <c r="AC99" s="23">
        <f t="shared" si="47"/>
        <v>32</v>
      </c>
      <c r="AE99" s="55">
        <f t="shared" si="53"/>
        <v>94</v>
      </c>
      <c r="AF99" s="22">
        <f t="shared" si="48"/>
        <v>66.240000000000009</v>
      </c>
      <c r="AG99" s="9" t="str">
        <f t="shared" si="49"/>
        <v>1775 Meyerside Dr</v>
      </c>
      <c r="AH99" s="56">
        <f t="shared" si="50"/>
        <v>7</v>
      </c>
    </row>
    <row r="100" spans="1:34" ht="16" x14ac:dyDescent="0.2">
      <c r="A100" s="9" t="s">
        <v>100</v>
      </c>
      <c r="B100" s="10">
        <v>6</v>
      </c>
      <c r="C100" s="15" t="s">
        <v>146</v>
      </c>
      <c r="D100" s="10">
        <v>2000</v>
      </c>
      <c r="E100" s="10">
        <v>22.6</v>
      </c>
      <c r="F100" s="18">
        <v>0.35</v>
      </c>
      <c r="G100" s="19">
        <v>0.95</v>
      </c>
      <c r="H100" s="13">
        <v>3339</v>
      </c>
      <c r="I100" s="20">
        <f t="shared" si="35"/>
        <v>1139</v>
      </c>
      <c r="J100" s="20">
        <v>105055</v>
      </c>
      <c r="K100" s="67">
        <f t="shared" si="51"/>
        <v>3.1783351577744992E-2</v>
      </c>
      <c r="L100" s="10">
        <v>1</v>
      </c>
      <c r="M100" s="22">
        <v>16.8</v>
      </c>
      <c r="N100" s="12">
        <v>15</v>
      </c>
      <c r="O100" s="12">
        <v>4.47</v>
      </c>
      <c r="P100" s="21">
        <f t="shared" si="36"/>
        <v>19.47</v>
      </c>
      <c r="Q100" s="64">
        <f t="shared" si="52"/>
        <v>65010.329999999994</v>
      </c>
      <c r="R100" s="64"/>
      <c r="S100" s="10">
        <f t="shared" si="37"/>
        <v>9</v>
      </c>
      <c r="T100" s="10">
        <f t="shared" si="38"/>
        <v>4</v>
      </c>
      <c r="U100" s="10">
        <f t="shared" si="39"/>
        <v>26</v>
      </c>
      <c r="V100" s="10">
        <f t="shared" si="40"/>
        <v>102</v>
      </c>
      <c r="W100" s="10">
        <f t="shared" si="41"/>
        <v>111</v>
      </c>
      <c r="X100" s="10">
        <f t="shared" si="42"/>
        <v>115</v>
      </c>
      <c r="Y100" s="10">
        <f t="shared" si="43"/>
        <v>17</v>
      </c>
      <c r="Z100" s="10">
        <f t="shared" si="44"/>
        <v>1</v>
      </c>
      <c r="AA100" s="10">
        <f t="shared" si="45"/>
        <v>90</v>
      </c>
      <c r="AB100" s="22">
        <f t="shared" si="46"/>
        <v>59.970000000000006</v>
      </c>
      <c r="AC100" s="23">
        <f t="shared" si="47"/>
        <v>71</v>
      </c>
      <c r="AE100" s="55">
        <f t="shared" si="53"/>
        <v>95</v>
      </c>
      <c r="AF100" s="22">
        <f t="shared" si="48"/>
        <v>66.72</v>
      </c>
      <c r="AG100" s="9" t="str">
        <f t="shared" si="49"/>
        <v>1200 Aerowood Dr</v>
      </c>
      <c r="AH100" s="56">
        <f t="shared" si="50"/>
        <v>16</v>
      </c>
    </row>
    <row r="101" spans="1:34" ht="16" x14ac:dyDescent="0.2">
      <c r="A101" s="9" t="s">
        <v>101</v>
      </c>
      <c r="B101" s="10">
        <v>35</v>
      </c>
      <c r="C101" s="15" t="s">
        <v>137</v>
      </c>
      <c r="D101" s="10">
        <v>1988</v>
      </c>
      <c r="E101" s="10">
        <v>15.1</v>
      </c>
      <c r="F101" s="18">
        <v>0.46</v>
      </c>
      <c r="G101" s="25">
        <v>1.5</v>
      </c>
      <c r="H101" s="13">
        <v>1484</v>
      </c>
      <c r="I101" s="20">
        <f t="shared" si="35"/>
        <v>716</v>
      </c>
      <c r="J101" s="20">
        <v>41773</v>
      </c>
      <c r="K101" s="67">
        <f t="shared" si="51"/>
        <v>3.5525339334019579E-2</v>
      </c>
      <c r="L101" s="10">
        <v>2</v>
      </c>
      <c r="M101" s="22">
        <v>14.7</v>
      </c>
      <c r="N101" s="12">
        <v>15</v>
      </c>
      <c r="O101" s="12">
        <v>6.2</v>
      </c>
      <c r="P101" s="21">
        <f t="shared" si="36"/>
        <v>21.2</v>
      </c>
      <c r="Q101" s="64">
        <f t="shared" si="52"/>
        <v>31460.799999999999</v>
      </c>
      <c r="R101" s="64"/>
      <c r="S101" s="10">
        <f t="shared" si="37"/>
        <v>34</v>
      </c>
      <c r="T101" s="10">
        <f t="shared" si="38"/>
        <v>67</v>
      </c>
      <c r="U101" s="10">
        <f t="shared" si="39"/>
        <v>16</v>
      </c>
      <c r="V101" s="10">
        <f t="shared" si="40"/>
        <v>47</v>
      </c>
      <c r="W101" s="10">
        <f t="shared" si="41"/>
        <v>103</v>
      </c>
      <c r="X101" s="10">
        <f t="shared" si="42"/>
        <v>115</v>
      </c>
      <c r="Y101" s="10">
        <f t="shared" si="43"/>
        <v>91</v>
      </c>
      <c r="Z101" s="10">
        <f t="shared" si="44"/>
        <v>15</v>
      </c>
      <c r="AA101" s="10">
        <f t="shared" si="45"/>
        <v>70</v>
      </c>
      <c r="AB101" s="22">
        <f t="shared" si="46"/>
        <v>67.56</v>
      </c>
      <c r="AC101" s="23">
        <f t="shared" si="47"/>
        <v>98</v>
      </c>
      <c r="AE101" s="55">
        <f t="shared" si="53"/>
        <v>96</v>
      </c>
      <c r="AF101" s="22">
        <f t="shared" si="48"/>
        <v>67.11</v>
      </c>
      <c r="AG101" s="9" t="str">
        <f t="shared" si="49"/>
        <v>2455 Cawthra Rd</v>
      </c>
      <c r="AH101" s="56">
        <f t="shared" si="50"/>
        <v>20</v>
      </c>
    </row>
    <row r="102" spans="1:34" ht="16" x14ac:dyDescent="0.2">
      <c r="A102" s="9" t="s">
        <v>97</v>
      </c>
      <c r="B102" s="10">
        <v>2</v>
      </c>
      <c r="C102" s="15" t="s">
        <v>146</v>
      </c>
      <c r="D102" s="10">
        <v>2000</v>
      </c>
      <c r="E102" s="10">
        <v>22.6</v>
      </c>
      <c r="F102" s="18">
        <v>1</v>
      </c>
      <c r="G102" s="19">
        <v>1.43</v>
      </c>
      <c r="H102" s="13">
        <v>2906</v>
      </c>
      <c r="I102" s="20">
        <f t="shared" ref="I102:I128" si="54">ABS(H102-H$128)</f>
        <v>706</v>
      </c>
      <c r="J102" s="20">
        <v>75662</v>
      </c>
      <c r="K102" s="67">
        <f t="shared" si="51"/>
        <v>3.8407655097671224E-2</v>
      </c>
      <c r="L102" s="10">
        <v>1</v>
      </c>
      <c r="M102" s="22">
        <v>17</v>
      </c>
      <c r="N102" s="12">
        <v>15</v>
      </c>
      <c r="O102" s="12">
        <v>4.96</v>
      </c>
      <c r="P102" s="21">
        <f t="shared" ref="P102:P103" si="55">SUM(N102:O102)</f>
        <v>19.96</v>
      </c>
      <c r="Q102" s="64">
        <f t="shared" si="52"/>
        <v>58003.76</v>
      </c>
      <c r="R102" s="64"/>
      <c r="S102" s="10">
        <f t="shared" ref="S102:S128" si="56">RANK(D102,D$6:D$128,0)</f>
        <v>9</v>
      </c>
      <c r="T102" s="10">
        <f t="shared" ref="T102:T128" si="57">RANK(E102,E$6:E$128,0)</f>
        <v>4</v>
      </c>
      <c r="U102" s="10">
        <f t="shared" ref="U102:U128" si="58">RANK(F102,F$6:F$128,0)</f>
        <v>1</v>
      </c>
      <c r="V102" s="10">
        <f t="shared" ref="V102:V128" si="59">RANK(G102,G$6:G$128,0)</f>
        <v>53</v>
      </c>
      <c r="W102" s="10">
        <f t="shared" ref="W102:W128" si="60">RANK(M102,M$6:M$128,1)</f>
        <v>112</v>
      </c>
      <c r="X102" s="10">
        <f t="shared" ref="X102:X128" si="61">RANK(N102,N$6:N$128,1)</f>
        <v>115</v>
      </c>
      <c r="Y102" s="10">
        <f t="shared" ref="Y102:Y128" si="62">RANK(O102,O$6:O$128,1)</f>
        <v>34</v>
      </c>
      <c r="Z102" s="10">
        <f t="shared" ref="Z102:Z128" si="63">RANK(L102,L$6:L$128,1)</f>
        <v>1</v>
      </c>
      <c r="AA102" s="10">
        <f t="shared" ref="AA102:AA128" si="64">RANK(I102,I$6:I$128,1)</f>
        <v>69</v>
      </c>
      <c r="AB102" s="22">
        <f t="shared" ref="AB102:AB103" si="65">SUMPRODUCT(S102:AA102,S$4:AA$4)</f>
        <v>50.5</v>
      </c>
      <c r="AC102" s="23">
        <f t="shared" ref="AC102:AC128" si="66">RANK(AB102,AB$6:AB$128,1)</f>
        <v>39</v>
      </c>
      <c r="AE102" s="55">
        <f t="shared" si="53"/>
        <v>97</v>
      </c>
      <c r="AF102" s="22" t="e">
        <f t="shared" ref="AF102:AF128" si="67">_xlfn.XLOOKUP(AE102,AC$6:AC$128,AB$6:AB$128)</f>
        <v>#N/A</v>
      </c>
      <c r="AG102" s="9" t="e">
        <f t="shared" ref="AG102:AG128" si="68">_xlfn.XLOOKUP($AE102,$AC$6:$AC$128,A$6:A$128)</f>
        <v>#N/A</v>
      </c>
      <c r="AH102" s="56" t="e">
        <f t="shared" ref="AH102:AH128" si="69">_xlfn.XLOOKUP($AE102,$AC$6:$AC$128,B$6:B$128)</f>
        <v>#N/A</v>
      </c>
    </row>
    <row r="103" spans="1:34" ht="16" x14ac:dyDescent="0.2">
      <c r="A103" s="9" t="s">
        <v>96</v>
      </c>
      <c r="B103" s="10">
        <v>5</v>
      </c>
      <c r="C103" s="15" t="s">
        <v>137</v>
      </c>
      <c r="D103" s="10">
        <v>2000</v>
      </c>
      <c r="E103" s="10">
        <v>16.100000000000001</v>
      </c>
      <c r="F103" s="18">
        <v>0.55000000000000004</v>
      </c>
      <c r="G103" s="19">
        <v>1.76</v>
      </c>
      <c r="H103" s="13">
        <v>2641</v>
      </c>
      <c r="I103" s="20">
        <f t="shared" si="54"/>
        <v>441</v>
      </c>
      <c r="J103" s="20">
        <v>61253</v>
      </c>
      <c r="K103" s="67">
        <f t="shared" si="51"/>
        <v>4.3116255530341374E-2</v>
      </c>
      <c r="L103" s="10">
        <v>1</v>
      </c>
      <c r="M103" s="22">
        <v>18.7</v>
      </c>
      <c r="N103" s="12">
        <v>15.5</v>
      </c>
      <c r="O103" s="12">
        <v>5.52</v>
      </c>
      <c r="P103" s="21">
        <f t="shared" si="55"/>
        <v>21.02</v>
      </c>
      <c r="Q103" s="64">
        <f t="shared" si="52"/>
        <v>55513.82</v>
      </c>
      <c r="R103" s="64"/>
      <c r="S103" s="10">
        <f t="shared" si="56"/>
        <v>9</v>
      </c>
      <c r="T103" s="10">
        <f t="shared" si="57"/>
        <v>41</v>
      </c>
      <c r="U103" s="10">
        <f t="shared" si="58"/>
        <v>11</v>
      </c>
      <c r="V103" s="10">
        <f t="shared" si="59"/>
        <v>32</v>
      </c>
      <c r="W103" s="10">
        <f t="shared" si="60"/>
        <v>117</v>
      </c>
      <c r="X103" s="10">
        <f t="shared" si="61"/>
        <v>120</v>
      </c>
      <c r="Y103" s="10">
        <f t="shared" si="62"/>
        <v>75</v>
      </c>
      <c r="Z103" s="10">
        <f t="shared" si="63"/>
        <v>1</v>
      </c>
      <c r="AA103" s="10">
        <f t="shared" si="64"/>
        <v>43</v>
      </c>
      <c r="AB103" s="22">
        <f t="shared" si="65"/>
        <v>56.49</v>
      </c>
      <c r="AC103" s="23">
        <f t="shared" si="66"/>
        <v>57</v>
      </c>
      <c r="AE103" s="55">
        <f t="shared" si="53"/>
        <v>98</v>
      </c>
      <c r="AF103" s="22">
        <f t="shared" si="67"/>
        <v>67.56</v>
      </c>
      <c r="AG103" s="9" t="str">
        <f t="shared" si="68"/>
        <v>4181 Sladeview Cres</v>
      </c>
      <c r="AH103" s="56">
        <f t="shared" si="69"/>
        <v>35</v>
      </c>
    </row>
    <row r="104" spans="1:34" x14ac:dyDescent="0.2">
      <c r="A104" s="9" t="s">
        <v>149</v>
      </c>
      <c r="B104" s="10">
        <v>3</v>
      </c>
      <c r="C104" s="15"/>
      <c r="D104" s="10">
        <v>2001</v>
      </c>
      <c r="E104" s="10">
        <v>22</v>
      </c>
      <c r="F104" s="48">
        <v>0.34</v>
      </c>
      <c r="G104" s="19">
        <v>1.75</v>
      </c>
      <c r="H104" s="13">
        <v>2972</v>
      </c>
      <c r="I104" s="20">
        <f t="shared" si="54"/>
        <v>772</v>
      </c>
      <c r="J104" s="20">
        <v>43165</v>
      </c>
      <c r="K104" s="67">
        <f t="shared" si="51"/>
        <v>6.8852079230858329E-2</v>
      </c>
      <c r="L104" s="10">
        <v>1</v>
      </c>
      <c r="M104" s="22">
        <v>12.3</v>
      </c>
      <c r="N104" s="12">
        <v>11.5</v>
      </c>
      <c r="O104" s="12">
        <v>5.26</v>
      </c>
      <c r="P104" s="21">
        <f t="shared" ref="P104:P118" si="70">SUM(N104:O104)</f>
        <v>16.759999999999998</v>
      </c>
      <c r="Q104" s="64">
        <f t="shared" si="52"/>
        <v>49810.719999999994</v>
      </c>
      <c r="R104" s="64"/>
      <c r="S104" s="10">
        <f t="shared" si="56"/>
        <v>7</v>
      </c>
      <c r="T104" s="10">
        <f t="shared" si="57"/>
        <v>8</v>
      </c>
      <c r="U104" s="10">
        <f t="shared" si="58"/>
        <v>28</v>
      </c>
      <c r="V104" s="10">
        <f t="shared" si="59"/>
        <v>34</v>
      </c>
      <c r="W104" s="10">
        <f t="shared" si="60"/>
        <v>92</v>
      </c>
      <c r="X104" s="10">
        <f t="shared" si="61"/>
        <v>54</v>
      </c>
      <c r="Y104" s="10">
        <f t="shared" si="62"/>
        <v>60</v>
      </c>
      <c r="Z104" s="10">
        <f t="shared" si="63"/>
        <v>1</v>
      </c>
      <c r="AA104" s="10">
        <f t="shared" si="64"/>
        <v>71</v>
      </c>
      <c r="AB104" s="22">
        <f t="shared" ref="AB104:AB118" si="71">SUMPRODUCT(S104:AA104,S$4:AA$4)</f>
        <v>42.67</v>
      </c>
      <c r="AC104" s="23">
        <f t="shared" si="66"/>
        <v>12</v>
      </c>
      <c r="AE104" s="55">
        <f t="shared" si="53"/>
        <v>99</v>
      </c>
      <c r="AF104" s="22">
        <f t="shared" si="67"/>
        <v>67.569999999999993</v>
      </c>
      <c r="AG104" s="9" t="str">
        <f t="shared" si="68"/>
        <v>3715 Laird Road</v>
      </c>
      <c r="AH104" s="56">
        <f t="shared" si="69"/>
        <v>9</v>
      </c>
    </row>
    <row r="105" spans="1:34" x14ac:dyDescent="0.2">
      <c r="A105" s="9" t="s">
        <v>150</v>
      </c>
      <c r="B105" s="10">
        <v>23</v>
      </c>
      <c r="C105" s="15"/>
      <c r="D105" s="10">
        <v>1999</v>
      </c>
      <c r="E105" s="10">
        <v>22</v>
      </c>
      <c r="F105" s="48">
        <v>0.34</v>
      </c>
      <c r="G105" s="19">
        <v>1.26</v>
      </c>
      <c r="H105" s="13">
        <v>3974</v>
      </c>
      <c r="I105" s="20">
        <f t="shared" si="54"/>
        <v>1774</v>
      </c>
      <c r="J105" s="20">
        <v>102850</v>
      </c>
      <c r="K105" s="67">
        <f t="shared" si="51"/>
        <v>3.8638794360719493E-2</v>
      </c>
      <c r="L105" s="10">
        <v>2</v>
      </c>
      <c r="M105" s="22">
        <v>12.3</v>
      </c>
      <c r="N105" s="12">
        <v>14.5</v>
      </c>
      <c r="O105" s="12">
        <v>5.26</v>
      </c>
      <c r="P105" s="21">
        <f t="shared" si="70"/>
        <v>19.759999999999998</v>
      </c>
      <c r="Q105" s="64">
        <f t="shared" si="52"/>
        <v>78526.239999999991</v>
      </c>
      <c r="R105" s="64"/>
      <c r="S105" s="10">
        <f t="shared" si="56"/>
        <v>16</v>
      </c>
      <c r="T105" s="10">
        <f t="shared" si="57"/>
        <v>8</v>
      </c>
      <c r="U105" s="10">
        <f t="shared" si="58"/>
        <v>28</v>
      </c>
      <c r="V105" s="10">
        <f t="shared" si="59"/>
        <v>79</v>
      </c>
      <c r="W105" s="10">
        <f t="shared" si="60"/>
        <v>92</v>
      </c>
      <c r="X105" s="10">
        <f t="shared" si="61"/>
        <v>104</v>
      </c>
      <c r="Y105" s="10">
        <f t="shared" si="62"/>
        <v>60</v>
      </c>
      <c r="Z105" s="10">
        <f t="shared" si="63"/>
        <v>15</v>
      </c>
      <c r="AA105" s="10">
        <f t="shared" si="64"/>
        <v>103</v>
      </c>
      <c r="AB105" s="22">
        <f t="shared" si="71"/>
        <v>62.319999999999993</v>
      </c>
      <c r="AC105" s="23">
        <f t="shared" si="66"/>
        <v>79</v>
      </c>
      <c r="AE105" s="55">
        <f t="shared" si="53"/>
        <v>100</v>
      </c>
      <c r="AF105" s="22">
        <f t="shared" si="67"/>
        <v>67.83</v>
      </c>
      <c r="AG105" s="9" t="str">
        <f t="shared" si="68"/>
        <v>6295 Northam Dr</v>
      </c>
      <c r="AH105" s="56">
        <f t="shared" si="69"/>
        <v>15</v>
      </c>
    </row>
    <row r="106" spans="1:34" x14ac:dyDescent="0.2">
      <c r="A106" s="9" t="s">
        <v>151</v>
      </c>
      <c r="B106" s="49" t="s">
        <v>152</v>
      </c>
      <c r="C106" s="15"/>
      <c r="D106" s="10">
        <v>1981</v>
      </c>
      <c r="E106" s="10">
        <v>14</v>
      </c>
      <c r="F106" s="48">
        <v>0.15</v>
      </c>
      <c r="G106" s="19">
        <v>1.4</v>
      </c>
      <c r="H106" s="13">
        <v>3539</v>
      </c>
      <c r="I106" s="20">
        <f t="shared" si="54"/>
        <v>1339</v>
      </c>
      <c r="J106" s="20">
        <v>33382</v>
      </c>
      <c r="K106" s="67">
        <f t="shared" si="51"/>
        <v>0.10601521778203822</v>
      </c>
      <c r="L106" s="10">
        <v>3</v>
      </c>
      <c r="M106" s="22">
        <v>6.1</v>
      </c>
      <c r="N106" s="12">
        <v>12.5</v>
      </c>
      <c r="O106" s="12">
        <v>6.26</v>
      </c>
      <c r="P106" s="21">
        <f t="shared" si="70"/>
        <v>18.759999999999998</v>
      </c>
      <c r="Q106" s="64">
        <f t="shared" si="52"/>
        <v>66391.64</v>
      </c>
      <c r="R106" s="64"/>
      <c r="S106" s="10">
        <f t="shared" si="56"/>
        <v>54</v>
      </c>
      <c r="T106" s="10">
        <f t="shared" si="57"/>
        <v>68</v>
      </c>
      <c r="U106" s="10">
        <f t="shared" si="58"/>
        <v>96</v>
      </c>
      <c r="V106" s="10">
        <f t="shared" si="59"/>
        <v>62</v>
      </c>
      <c r="W106" s="10">
        <f t="shared" si="60"/>
        <v>42</v>
      </c>
      <c r="X106" s="10">
        <f t="shared" si="61"/>
        <v>72</v>
      </c>
      <c r="Y106" s="10">
        <f t="shared" si="62"/>
        <v>98</v>
      </c>
      <c r="Z106" s="10">
        <f t="shared" si="63"/>
        <v>72</v>
      </c>
      <c r="AA106" s="10">
        <f t="shared" si="64"/>
        <v>97</v>
      </c>
      <c r="AB106" s="22">
        <f t="shared" si="71"/>
        <v>74.200000000000017</v>
      </c>
      <c r="AC106" s="23">
        <f t="shared" si="66"/>
        <v>113</v>
      </c>
      <c r="AE106" s="55">
        <f t="shared" si="53"/>
        <v>101</v>
      </c>
      <c r="AF106" s="22">
        <f t="shared" si="67"/>
        <v>68.31</v>
      </c>
      <c r="AG106" s="9" t="str">
        <f t="shared" si="68"/>
        <v>5288 General Rd</v>
      </c>
      <c r="AH106" s="56">
        <f t="shared" si="69"/>
        <v>7</v>
      </c>
    </row>
    <row r="107" spans="1:34" x14ac:dyDescent="0.2">
      <c r="A107" s="9" t="s">
        <v>153</v>
      </c>
      <c r="B107" s="10">
        <v>38</v>
      </c>
      <c r="C107" s="15"/>
      <c r="D107" s="10">
        <v>1980</v>
      </c>
      <c r="E107" s="26">
        <v>18</v>
      </c>
      <c r="F107" s="48">
        <v>0.15</v>
      </c>
      <c r="G107" s="19">
        <v>1.94</v>
      </c>
      <c r="H107" s="13">
        <v>4158</v>
      </c>
      <c r="I107" s="20">
        <f t="shared" si="54"/>
        <v>1958</v>
      </c>
      <c r="J107" s="20">
        <v>61090</v>
      </c>
      <c r="K107" s="67">
        <f t="shared" si="51"/>
        <v>6.8063512849893607E-2</v>
      </c>
      <c r="L107" s="10">
        <v>3</v>
      </c>
      <c r="M107" s="22">
        <v>9</v>
      </c>
      <c r="N107" s="12">
        <v>16</v>
      </c>
      <c r="O107" s="50">
        <v>5</v>
      </c>
      <c r="P107" s="21">
        <f t="shared" si="70"/>
        <v>21</v>
      </c>
      <c r="Q107" s="64">
        <f t="shared" si="52"/>
        <v>87318</v>
      </c>
      <c r="R107" s="64"/>
      <c r="S107" s="10">
        <f t="shared" si="56"/>
        <v>58</v>
      </c>
      <c r="T107" s="10">
        <f t="shared" si="57"/>
        <v>17</v>
      </c>
      <c r="U107" s="10">
        <f t="shared" si="58"/>
        <v>96</v>
      </c>
      <c r="V107" s="10">
        <f t="shared" si="59"/>
        <v>16</v>
      </c>
      <c r="W107" s="10">
        <f t="shared" si="60"/>
        <v>73</v>
      </c>
      <c r="X107" s="10">
        <f t="shared" si="61"/>
        <v>121</v>
      </c>
      <c r="Y107" s="10">
        <f t="shared" si="62"/>
        <v>37</v>
      </c>
      <c r="Z107" s="10">
        <f t="shared" si="63"/>
        <v>72</v>
      </c>
      <c r="AA107" s="10">
        <f t="shared" si="64"/>
        <v>107</v>
      </c>
      <c r="AB107" s="22">
        <f t="shared" si="71"/>
        <v>65.92</v>
      </c>
      <c r="AC107" s="23">
        <f t="shared" si="66"/>
        <v>93</v>
      </c>
      <c r="AE107" s="55">
        <f t="shared" si="53"/>
        <v>102</v>
      </c>
      <c r="AF107" s="22">
        <f t="shared" si="67"/>
        <v>68.55</v>
      </c>
      <c r="AG107" s="9" t="str">
        <f t="shared" si="68"/>
        <v>2222 South Sheri... Way</v>
      </c>
      <c r="AH107" s="56">
        <f t="shared" si="69"/>
        <v>210</v>
      </c>
    </row>
    <row r="108" spans="1:34" x14ac:dyDescent="0.2">
      <c r="A108" s="9" t="s">
        <v>174</v>
      </c>
      <c r="B108" s="10">
        <v>5</v>
      </c>
      <c r="C108" s="15"/>
      <c r="D108" s="10">
        <v>1986</v>
      </c>
      <c r="E108" s="10">
        <v>16</v>
      </c>
      <c r="F108" s="48">
        <v>0.15</v>
      </c>
      <c r="G108" s="19">
        <v>1.1200000000000001</v>
      </c>
      <c r="H108" s="13">
        <v>1360</v>
      </c>
      <c r="I108" s="20">
        <f t="shared" si="54"/>
        <v>840</v>
      </c>
      <c r="J108" s="20">
        <v>49534</v>
      </c>
      <c r="K108" s="67">
        <f t="shared" si="51"/>
        <v>2.7455888884402632E-2</v>
      </c>
      <c r="L108" s="10">
        <v>3</v>
      </c>
      <c r="M108" s="22">
        <v>2</v>
      </c>
      <c r="N108" s="12">
        <v>11.95</v>
      </c>
      <c r="O108" s="12">
        <v>6.5</v>
      </c>
      <c r="P108" s="21">
        <f t="shared" si="70"/>
        <v>18.45</v>
      </c>
      <c r="Q108" s="64">
        <f t="shared" si="52"/>
        <v>25092</v>
      </c>
      <c r="R108" s="64"/>
      <c r="S108" s="10">
        <f t="shared" si="56"/>
        <v>39</v>
      </c>
      <c r="T108" s="10">
        <f t="shared" si="57"/>
        <v>44</v>
      </c>
      <c r="U108" s="10">
        <f t="shared" si="58"/>
        <v>96</v>
      </c>
      <c r="V108" s="10">
        <f t="shared" si="59"/>
        <v>96</v>
      </c>
      <c r="W108" s="10">
        <f t="shared" si="60"/>
        <v>5</v>
      </c>
      <c r="X108" s="10">
        <f t="shared" si="61"/>
        <v>58</v>
      </c>
      <c r="Y108" s="10">
        <f t="shared" si="62"/>
        <v>113</v>
      </c>
      <c r="Z108" s="10">
        <f t="shared" si="63"/>
        <v>72</v>
      </c>
      <c r="AA108" s="10">
        <f t="shared" si="64"/>
        <v>74</v>
      </c>
      <c r="AB108" s="22">
        <f t="shared" si="71"/>
        <v>69.56</v>
      </c>
      <c r="AC108" s="23">
        <f t="shared" si="66"/>
        <v>111</v>
      </c>
      <c r="AE108" s="55">
        <f t="shared" si="53"/>
        <v>103</v>
      </c>
      <c r="AF108" s="22">
        <f t="shared" si="67"/>
        <v>68.56</v>
      </c>
      <c r="AG108" s="9" t="str">
        <f t="shared" si="68"/>
        <v>2405-2421 Drew Road</v>
      </c>
      <c r="AH108" s="56">
        <f t="shared" si="69"/>
        <v>7</v>
      </c>
    </row>
    <row r="109" spans="1:34" x14ac:dyDescent="0.2">
      <c r="A109" s="9" t="s">
        <v>154</v>
      </c>
      <c r="B109" s="10"/>
      <c r="C109" s="15"/>
      <c r="D109" s="10">
        <v>1980</v>
      </c>
      <c r="E109" s="26">
        <v>18</v>
      </c>
      <c r="F109" s="48">
        <v>0.15</v>
      </c>
      <c r="G109" s="19">
        <v>2.0099999999999998</v>
      </c>
      <c r="H109" s="13">
        <v>3874</v>
      </c>
      <c r="I109" s="20">
        <f t="shared" si="54"/>
        <v>1674</v>
      </c>
      <c r="J109" s="20">
        <v>8072</v>
      </c>
      <c r="K109" s="67">
        <f t="shared" si="51"/>
        <v>0.47993062438057482</v>
      </c>
      <c r="L109" s="10">
        <v>3</v>
      </c>
      <c r="M109" s="22">
        <v>7.5</v>
      </c>
      <c r="N109" s="12">
        <v>8</v>
      </c>
      <c r="O109" s="12">
        <v>7.5</v>
      </c>
      <c r="P109" s="21">
        <f t="shared" si="70"/>
        <v>15.5</v>
      </c>
      <c r="Q109" s="64">
        <f t="shared" si="52"/>
        <v>60047</v>
      </c>
      <c r="R109" s="64"/>
      <c r="S109" s="10">
        <f t="shared" si="56"/>
        <v>58</v>
      </c>
      <c r="T109" s="10">
        <f t="shared" si="57"/>
        <v>17</v>
      </c>
      <c r="U109" s="10">
        <f t="shared" si="58"/>
        <v>96</v>
      </c>
      <c r="V109" s="10">
        <f t="shared" si="59"/>
        <v>12</v>
      </c>
      <c r="W109" s="10">
        <f t="shared" si="60"/>
        <v>65</v>
      </c>
      <c r="X109" s="10">
        <f t="shared" si="61"/>
        <v>4</v>
      </c>
      <c r="Y109" s="10">
        <f t="shared" si="62"/>
        <v>121</v>
      </c>
      <c r="Z109" s="10">
        <f t="shared" si="63"/>
        <v>72</v>
      </c>
      <c r="AA109" s="10">
        <f t="shared" si="64"/>
        <v>100</v>
      </c>
      <c r="AB109" s="22">
        <f t="shared" si="71"/>
        <v>56.860000000000007</v>
      </c>
      <c r="AC109" s="23">
        <f t="shared" si="66"/>
        <v>61</v>
      </c>
      <c r="AE109" s="55">
        <f t="shared" si="53"/>
        <v>104</v>
      </c>
      <c r="AF109" s="22">
        <f t="shared" si="67"/>
        <v>68.660000000000011</v>
      </c>
      <c r="AG109" s="9" t="str">
        <f t="shared" si="68"/>
        <v>2465 Cawthra Rd</v>
      </c>
      <c r="AH109" s="56">
        <f t="shared" si="69"/>
        <v>120</v>
      </c>
    </row>
    <row r="110" spans="1:34" x14ac:dyDescent="0.2">
      <c r="A110" s="9" t="s">
        <v>155</v>
      </c>
      <c r="B110" s="10">
        <v>6</v>
      </c>
      <c r="C110" s="15"/>
      <c r="D110" s="10">
        <v>1990</v>
      </c>
      <c r="E110" s="26">
        <v>18</v>
      </c>
      <c r="F110" s="48">
        <v>0.15</v>
      </c>
      <c r="G110" s="19">
        <v>1.51</v>
      </c>
      <c r="H110" s="13">
        <v>2422</v>
      </c>
      <c r="I110" s="20">
        <f t="shared" si="54"/>
        <v>222</v>
      </c>
      <c r="J110" s="20">
        <v>28896</v>
      </c>
      <c r="K110" s="67">
        <f t="shared" si="51"/>
        <v>8.3817829457364337E-2</v>
      </c>
      <c r="L110" s="10">
        <v>3</v>
      </c>
      <c r="M110" s="22">
        <v>7.4</v>
      </c>
      <c r="N110" s="12">
        <v>12</v>
      </c>
      <c r="O110" s="12">
        <v>5.4</v>
      </c>
      <c r="P110" s="21">
        <f t="shared" si="70"/>
        <v>17.399999999999999</v>
      </c>
      <c r="Q110" s="64">
        <f t="shared" si="52"/>
        <v>42142.799999999996</v>
      </c>
      <c r="R110" s="64"/>
      <c r="S110" s="10">
        <f t="shared" si="56"/>
        <v>20</v>
      </c>
      <c r="T110" s="10">
        <f t="shared" si="57"/>
        <v>17</v>
      </c>
      <c r="U110" s="10">
        <f t="shared" si="58"/>
        <v>96</v>
      </c>
      <c r="V110" s="10">
        <f t="shared" si="59"/>
        <v>46</v>
      </c>
      <c r="W110" s="10">
        <f t="shared" si="60"/>
        <v>51</v>
      </c>
      <c r="X110" s="10">
        <f t="shared" si="61"/>
        <v>62</v>
      </c>
      <c r="Y110" s="10">
        <f t="shared" si="62"/>
        <v>69</v>
      </c>
      <c r="Z110" s="10">
        <f t="shared" si="63"/>
        <v>72</v>
      </c>
      <c r="AA110" s="10">
        <f t="shared" si="64"/>
        <v>31</v>
      </c>
      <c r="AB110" s="22">
        <f t="shared" si="71"/>
        <v>52.620000000000005</v>
      </c>
      <c r="AC110" s="23">
        <f t="shared" si="66"/>
        <v>44</v>
      </c>
      <c r="AE110" s="55">
        <f t="shared" si="53"/>
        <v>105</v>
      </c>
      <c r="AF110" s="22">
        <f t="shared" si="67"/>
        <v>68.860000000000014</v>
      </c>
      <c r="AG110" s="9" t="str">
        <f t="shared" si="68"/>
        <v>2465 Cawthra Rd</v>
      </c>
      <c r="AH110" s="56">
        <f t="shared" si="69"/>
        <v>116</v>
      </c>
    </row>
    <row r="111" spans="1:34" x14ac:dyDescent="0.2">
      <c r="A111" s="9" t="s">
        <v>156</v>
      </c>
      <c r="B111" s="10">
        <v>7</v>
      </c>
      <c r="C111" s="15"/>
      <c r="D111" s="10">
        <v>1980</v>
      </c>
      <c r="E111" s="26">
        <v>14</v>
      </c>
      <c r="F111" s="48">
        <v>0.15</v>
      </c>
      <c r="G111" s="19">
        <v>0.65</v>
      </c>
      <c r="H111" s="13">
        <v>3149</v>
      </c>
      <c r="I111" s="20">
        <f t="shared" si="54"/>
        <v>949</v>
      </c>
      <c r="J111" s="20">
        <v>23839</v>
      </c>
      <c r="K111" s="67">
        <f t="shared" si="51"/>
        <v>0.13209446704979236</v>
      </c>
      <c r="L111" s="10">
        <v>3</v>
      </c>
      <c r="M111" s="22">
        <v>10.9</v>
      </c>
      <c r="N111" s="12">
        <v>10.25</v>
      </c>
      <c r="O111" s="12">
        <v>5.0199999999999996</v>
      </c>
      <c r="P111" s="21">
        <f t="shared" si="70"/>
        <v>15.27</v>
      </c>
      <c r="Q111" s="64">
        <f t="shared" si="52"/>
        <v>48085.229999999996</v>
      </c>
      <c r="R111" s="64"/>
      <c r="S111" s="10">
        <f t="shared" si="56"/>
        <v>58</v>
      </c>
      <c r="T111" s="10">
        <f t="shared" si="57"/>
        <v>68</v>
      </c>
      <c r="U111" s="10">
        <f t="shared" si="58"/>
        <v>96</v>
      </c>
      <c r="V111" s="10">
        <f t="shared" si="59"/>
        <v>118</v>
      </c>
      <c r="W111" s="10">
        <f t="shared" si="60"/>
        <v>80</v>
      </c>
      <c r="X111" s="10">
        <f t="shared" si="61"/>
        <v>23</v>
      </c>
      <c r="Y111" s="10">
        <f t="shared" si="62"/>
        <v>40</v>
      </c>
      <c r="Z111" s="10">
        <f t="shared" si="63"/>
        <v>72</v>
      </c>
      <c r="AA111" s="10">
        <f t="shared" si="64"/>
        <v>75</v>
      </c>
      <c r="AB111" s="22">
        <f t="shared" si="71"/>
        <v>68.56</v>
      </c>
      <c r="AC111" s="23">
        <f t="shared" si="66"/>
        <v>103</v>
      </c>
      <c r="AE111" s="55">
        <f t="shared" si="53"/>
        <v>106</v>
      </c>
      <c r="AF111" s="22">
        <f t="shared" si="67"/>
        <v>69.06</v>
      </c>
      <c r="AG111" s="9" t="str">
        <f t="shared" si="68"/>
        <v>2465 Cawthra Rd</v>
      </c>
      <c r="AH111" s="56">
        <f t="shared" si="69"/>
        <v>115</v>
      </c>
    </row>
    <row r="112" spans="1:34" x14ac:dyDescent="0.2">
      <c r="A112" s="9" t="s">
        <v>157</v>
      </c>
      <c r="B112" s="10">
        <v>5</v>
      </c>
      <c r="C112" s="15"/>
      <c r="D112" s="10">
        <v>1980</v>
      </c>
      <c r="E112" s="26">
        <v>14</v>
      </c>
      <c r="F112" s="48">
        <v>0.15</v>
      </c>
      <c r="G112" s="19">
        <v>1.48</v>
      </c>
      <c r="H112" s="13">
        <v>2400</v>
      </c>
      <c r="I112" s="20">
        <f t="shared" si="54"/>
        <v>200</v>
      </c>
      <c r="J112" s="20">
        <v>29251</v>
      </c>
      <c r="K112" s="67">
        <f t="shared" si="51"/>
        <v>8.2048476975146153E-2</v>
      </c>
      <c r="L112" s="10">
        <v>3</v>
      </c>
      <c r="M112" s="22">
        <v>11.3</v>
      </c>
      <c r="N112" s="12">
        <v>10.95</v>
      </c>
      <c r="O112" s="12">
        <v>4.25</v>
      </c>
      <c r="P112" s="21">
        <f t="shared" si="70"/>
        <v>15.2</v>
      </c>
      <c r="Q112" s="64">
        <f t="shared" si="52"/>
        <v>36480</v>
      </c>
      <c r="R112" s="64"/>
      <c r="S112" s="10">
        <f t="shared" si="56"/>
        <v>58</v>
      </c>
      <c r="T112" s="10">
        <f t="shared" si="57"/>
        <v>68</v>
      </c>
      <c r="U112" s="10">
        <f t="shared" si="58"/>
        <v>96</v>
      </c>
      <c r="V112" s="10">
        <f t="shared" si="59"/>
        <v>51</v>
      </c>
      <c r="W112" s="10">
        <f t="shared" si="60"/>
        <v>82</v>
      </c>
      <c r="X112" s="10">
        <f t="shared" si="61"/>
        <v>41</v>
      </c>
      <c r="Y112" s="10">
        <f t="shared" si="62"/>
        <v>13</v>
      </c>
      <c r="Z112" s="10">
        <f t="shared" si="63"/>
        <v>72</v>
      </c>
      <c r="AA112" s="10">
        <f t="shared" si="64"/>
        <v>29</v>
      </c>
      <c r="AB112" s="22">
        <f t="shared" si="71"/>
        <v>53.21</v>
      </c>
      <c r="AC112" s="23">
        <f t="shared" si="66"/>
        <v>47</v>
      </c>
      <c r="AE112" s="55">
        <f t="shared" si="53"/>
        <v>107</v>
      </c>
      <c r="AF112" s="22">
        <f t="shared" si="67"/>
        <v>69.160000000000011</v>
      </c>
      <c r="AG112" s="9" t="str">
        <f t="shared" si="68"/>
        <v>2465 Cawthra Rd</v>
      </c>
      <c r="AH112" s="56">
        <f t="shared" si="69"/>
        <v>118</v>
      </c>
    </row>
    <row r="113" spans="1:34" x14ac:dyDescent="0.2">
      <c r="A113" s="9" t="s">
        <v>158</v>
      </c>
      <c r="B113" s="10">
        <v>3</v>
      </c>
      <c r="C113" s="15"/>
      <c r="D113" s="10">
        <v>1985</v>
      </c>
      <c r="E113" s="26">
        <v>18</v>
      </c>
      <c r="F113" s="48">
        <v>0.15</v>
      </c>
      <c r="G113" s="19">
        <v>2.35</v>
      </c>
      <c r="H113" s="13">
        <v>1650</v>
      </c>
      <c r="I113" s="20">
        <f t="shared" si="54"/>
        <v>550</v>
      </c>
      <c r="J113" s="20">
        <v>22997</v>
      </c>
      <c r="K113" s="67">
        <f t="shared" si="51"/>
        <v>7.1748488933339127E-2</v>
      </c>
      <c r="L113" s="10">
        <v>3</v>
      </c>
      <c r="M113" s="22">
        <v>7.95</v>
      </c>
      <c r="N113" s="12">
        <v>7.95</v>
      </c>
      <c r="O113" s="51">
        <v>4.3899999999999997</v>
      </c>
      <c r="P113" s="21">
        <f t="shared" si="70"/>
        <v>12.34</v>
      </c>
      <c r="Q113" s="64">
        <f t="shared" si="52"/>
        <v>20361</v>
      </c>
      <c r="R113" s="64"/>
      <c r="S113" s="10">
        <f t="shared" si="56"/>
        <v>41</v>
      </c>
      <c r="T113" s="10">
        <f t="shared" si="57"/>
        <v>17</v>
      </c>
      <c r="U113" s="10">
        <f t="shared" si="58"/>
        <v>96</v>
      </c>
      <c r="V113" s="10">
        <f t="shared" si="59"/>
        <v>9</v>
      </c>
      <c r="W113" s="10">
        <f t="shared" si="60"/>
        <v>69</v>
      </c>
      <c r="X113" s="10">
        <f t="shared" si="61"/>
        <v>3</v>
      </c>
      <c r="Y113" s="10">
        <f t="shared" si="62"/>
        <v>16</v>
      </c>
      <c r="Z113" s="10">
        <f t="shared" si="63"/>
        <v>72</v>
      </c>
      <c r="AA113" s="10">
        <f t="shared" si="64"/>
        <v>55</v>
      </c>
      <c r="AB113" s="22">
        <f t="shared" si="71"/>
        <v>36.090000000000003</v>
      </c>
      <c r="AC113" s="23">
        <f t="shared" si="66"/>
        <v>2</v>
      </c>
      <c r="AE113" s="55">
        <f t="shared" si="53"/>
        <v>108</v>
      </c>
      <c r="AF113" s="22">
        <f t="shared" si="67"/>
        <v>69.209999999999994</v>
      </c>
      <c r="AG113" s="9" t="str">
        <f t="shared" si="68"/>
        <v>2410 Tedlo St</v>
      </c>
      <c r="AH113" s="56">
        <f t="shared" si="69"/>
        <v>15</v>
      </c>
    </row>
    <row r="114" spans="1:34" x14ac:dyDescent="0.2">
      <c r="A114" s="9" t="s">
        <v>159</v>
      </c>
      <c r="B114" s="10">
        <v>9</v>
      </c>
      <c r="C114" s="15"/>
      <c r="D114" s="10">
        <v>2007</v>
      </c>
      <c r="E114" s="10">
        <v>16</v>
      </c>
      <c r="F114" s="18">
        <f>714/3713</f>
        <v>0.19229733369243199</v>
      </c>
      <c r="G114" s="19">
        <v>0.95</v>
      </c>
      <c r="H114" s="13">
        <v>3713</v>
      </c>
      <c r="I114" s="20">
        <f t="shared" si="54"/>
        <v>1513</v>
      </c>
      <c r="J114" s="20">
        <v>78382</v>
      </c>
      <c r="K114" s="67">
        <f t="shared" si="51"/>
        <v>4.737056977367253E-2</v>
      </c>
      <c r="L114" s="10">
        <v>1</v>
      </c>
      <c r="M114" s="22">
        <v>15.8</v>
      </c>
      <c r="N114" s="12">
        <v>14.5</v>
      </c>
      <c r="O114" s="12">
        <v>4.1500000000000004</v>
      </c>
      <c r="P114" s="21">
        <f t="shared" si="70"/>
        <v>18.649999999999999</v>
      </c>
      <c r="Q114" s="64">
        <f t="shared" si="52"/>
        <v>69247.45</v>
      </c>
      <c r="R114" s="64"/>
      <c r="S114" s="10">
        <f t="shared" si="56"/>
        <v>2</v>
      </c>
      <c r="T114" s="10">
        <f t="shared" si="57"/>
        <v>44</v>
      </c>
      <c r="U114" s="10">
        <f t="shared" si="58"/>
        <v>90</v>
      </c>
      <c r="V114" s="10">
        <f t="shared" si="59"/>
        <v>102</v>
      </c>
      <c r="W114" s="10">
        <f t="shared" si="60"/>
        <v>108</v>
      </c>
      <c r="X114" s="10">
        <f t="shared" si="61"/>
        <v>104</v>
      </c>
      <c r="Y114" s="10">
        <f t="shared" si="62"/>
        <v>10</v>
      </c>
      <c r="Z114" s="10">
        <f t="shared" si="63"/>
        <v>1</v>
      </c>
      <c r="AA114" s="10">
        <f t="shared" si="64"/>
        <v>98</v>
      </c>
      <c r="AB114" s="22">
        <f t="shared" si="71"/>
        <v>67.569999999999993</v>
      </c>
      <c r="AC114" s="23">
        <f t="shared" si="66"/>
        <v>99</v>
      </c>
      <c r="AE114" s="55">
        <f t="shared" si="53"/>
        <v>109</v>
      </c>
      <c r="AF114" s="22">
        <f t="shared" si="67"/>
        <v>69.260000000000005</v>
      </c>
      <c r="AG114" s="9" t="str">
        <f t="shared" si="68"/>
        <v>2465 Cawthra Rd</v>
      </c>
      <c r="AH114" s="56">
        <f t="shared" si="69"/>
        <v>119</v>
      </c>
    </row>
    <row r="115" spans="1:34" x14ac:dyDescent="0.2">
      <c r="A115" s="9" t="s">
        <v>159</v>
      </c>
      <c r="B115" s="10">
        <v>9</v>
      </c>
      <c r="C115" s="15"/>
      <c r="D115" s="10">
        <v>2007</v>
      </c>
      <c r="E115" s="10">
        <v>16</v>
      </c>
      <c r="F115" s="18">
        <f>2680/4369</f>
        <v>0.6134126802471962</v>
      </c>
      <c r="G115" s="19">
        <v>0.95</v>
      </c>
      <c r="H115" s="13">
        <v>4369</v>
      </c>
      <c r="I115" s="20">
        <f t="shared" si="54"/>
        <v>2169</v>
      </c>
      <c r="J115" s="20">
        <v>78382</v>
      </c>
      <c r="K115" s="67">
        <f t="shared" si="51"/>
        <v>5.5739838228164633E-2</v>
      </c>
      <c r="L115" s="10">
        <v>1</v>
      </c>
      <c r="M115" s="22">
        <v>15.8</v>
      </c>
      <c r="N115" s="12">
        <v>16</v>
      </c>
      <c r="O115" s="12">
        <v>4.2699999999999996</v>
      </c>
      <c r="P115" s="21">
        <f t="shared" si="70"/>
        <v>20.27</v>
      </c>
      <c r="Q115" s="64">
        <f t="shared" si="52"/>
        <v>88559.63</v>
      </c>
      <c r="R115" s="64"/>
      <c r="S115" s="10">
        <f t="shared" si="56"/>
        <v>2</v>
      </c>
      <c r="T115" s="10">
        <f t="shared" si="57"/>
        <v>44</v>
      </c>
      <c r="U115" s="10">
        <f t="shared" si="58"/>
        <v>8</v>
      </c>
      <c r="V115" s="10">
        <f t="shared" si="59"/>
        <v>102</v>
      </c>
      <c r="W115" s="10">
        <f t="shared" si="60"/>
        <v>108</v>
      </c>
      <c r="X115" s="10">
        <f t="shared" si="61"/>
        <v>121</v>
      </c>
      <c r="Y115" s="10">
        <f t="shared" si="62"/>
        <v>15</v>
      </c>
      <c r="Z115" s="10">
        <f t="shared" si="63"/>
        <v>1</v>
      </c>
      <c r="AA115" s="10">
        <f t="shared" si="64"/>
        <v>111</v>
      </c>
      <c r="AB115" s="22">
        <f t="shared" si="71"/>
        <v>64.09</v>
      </c>
      <c r="AC115" s="23">
        <f t="shared" si="66"/>
        <v>84</v>
      </c>
      <c r="AE115" s="55">
        <f t="shared" si="53"/>
        <v>110</v>
      </c>
      <c r="AF115" s="22">
        <f t="shared" si="67"/>
        <v>69.460000000000008</v>
      </c>
      <c r="AG115" s="9" t="str">
        <f t="shared" si="68"/>
        <v>2465 Cawthra Rd</v>
      </c>
      <c r="AH115" s="56">
        <f t="shared" si="69"/>
        <v>117</v>
      </c>
    </row>
    <row r="116" spans="1:34" x14ac:dyDescent="0.2">
      <c r="A116" s="9" t="s">
        <v>160</v>
      </c>
      <c r="B116" s="10">
        <v>14</v>
      </c>
      <c r="C116" s="15"/>
      <c r="D116" s="10">
        <v>2009</v>
      </c>
      <c r="E116" s="26">
        <v>16</v>
      </c>
      <c r="F116" s="18">
        <f>839/4226</f>
        <v>0.19853289162328444</v>
      </c>
      <c r="G116" s="19">
        <v>2</v>
      </c>
      <c r="H116" s="13">
        <v>4226</v>
      </c>
      <c r="I116" s="20">
        <f t="shared" si="54"/>
        <v>2026</v>
      </c>
      <c r="J116" s="20">
        <v>47143</v>
      </c>
      <c r="K116" s="67">
        <f t="shared" si="51"/>
        <v>8.9642152599537575E-2</v>
      </c>
      <c r="L116" s="10">
        <v>1</v>
      </c>
      <c r="M116" s="22">
        <v>15.9</v>
      </c>
      <c r="N116" s="12">
        <v>14.5</v>
      </c>
      <c r="O116" s="12">
        <v>4.24</v>
      </c>
      <c r="P116" s="21">
        <f t="shared" si="70"/>
        <v>18.740000000000002</v>
      </c>
      <c r="Q116" s="64">
        <f t="shared" si="52"/>
        <v>79195.240000000005</v>
      </c>
      <c r="R116" s="64"/>
      <c r="S116" s="10">
        <f t="shared" si="56"/>
        <v>1</v>
      </c>
      <c r="T116" s="10">
        <f t="shared" si="57"/>
        <v>44</v>
      </c>
      <c r="U116" s="10">
        <f t="shared" si="58"/>
        <v>89</v>
      </c>
      <c r="V116" s="10">
        <f t="shared" si="59"/>
        <v>14</v>
      </c>
      <c r="W116" s="10">
        <f t="shared" si="60"/>
        <v>110</v>
      </c>
      <c r="X116" s="10">
        <f t="shared" si="61"/>
        <v>104</v>
      </c>
      <c r="Y116" s="10">
        <f t="shared" si="62"/>
        <v>12</v>
      </c>
      <c r="Z116" s="10">
        <f t="shared" si="63"/>
        <v>1</v>
      </c>
      <c r="AA116" s="10">
        <f t="shared" si="64"/>
        <v>110</v>
      </c>
      <c r="AB116" s="22">
        <f t="shared" si="71"/>
        <v>55.870000000000005</v>
      </c>
      <c r="AC116" s="23">
        <f t="shared" si="66"/>
        <v>54</v>
      </c>
      <c r="AE116" s="55">
        <f t="shared" si="53"/>
        <v>111</v>
      </c>
      <c r="AF116" s="22">
        <f t="shared" si="67"/>
        <v>69.56</v>
      </c>
      <c r="AG116" s="9" t="str">
        <f t="shared" si="68"/>
        <v>151 Brunel Road</v>
      </c>
      <c r="AH116" s="56">
        <f t="shared" si="69"/>
        <v>5</v>
      </c>
    </row>
    <row r="117" spans="1:34" x14ac:dyDescent="0.2">
      <c r="A117" s="9" t="s">
        <v>161</v>
      </c>
      <c r="B117" s="10">
        <v>7</v>
      </c>
      <c r="C117" s="15"/>
      <c r="D117" s="10">
        <v>1972</v>
      </c>
      <c r="E117" s="10">
        <v>14</v>
      </c>
      <c r="F117" s="18">
        <v>0.2</v>
      </c>
      <c r="G117" s="19">
        <v>1.5</v>
      </c>
      <c r="H117" s="13">
        <v>2500</v>
      </c>
      <c r="I117" s="20">
        <f t="shared" si="54"/>
        <v>300</v>
      </c>
      <c r="J117" s="20">
        <v>46009</v>
      </c>
      <c r="K117" s="67">
        <f t="shared" si="51"/>
        <v>5.4337194896650655E-2</v>
      </c>
      <c r="L117" s="10">
        <v>3</v>
      </c>
      <c r="M117" s="22">
        <v>3.5</v>
      </c>
      <c r="N117" s="12">
        <v>10</v>
      </c>
      <c r="O117" s="12">
        <v>3.9</v>
      </c>
      <c r="P117" s="21">
        <f t="shared" si="70"/>
        <v>13.9</v>
      </c>
      <c r="Q117" s="64">
        <f t="shared" si="52"/>
        <v>34750</v>
      </c>
      <c r="R117" s="64"/>
      <c r="S117" s="10">
        <f t="shared" si="56"/>
        <v>120</v>
      </c>
      <c r="T117" s="10">
        <f t="shared" si="57"/>
        <v>68</v>
      </c>
      <c r="U117" s="10">
        <f t="shared" si="58"/>
        <v>73</v>
      </c>
      <c r="V117" s="10">
        <f t="shared" si="59"/>
        <v>47</v>
      </c>
      <c r="W117" s="10">
        <f t="shared" si="60"/>
        <v>20</v>
      </c>
      <c r="X117" s="10">
        <f t="shared" si="61"/>
        <v>19</v>
      </c>
      <c r="Y117" s="10">
        <f t="shared" si="62"/>
        <v>8</v>
      </c>
      <c r="Z117" s="10">
        <f t="shared" si="63"/>
        <v>72</v>
      </c>
      <c r="AA117" s="10">
        <f t="shared" si="64"/>
        <v>36</v>
      </c>
      <c r="AB117" s="22">
        <f t="shared" si="71"/>
        <v>45.55</v>
      </c>
      <c r="AC117" s="23">
        <f t="shared" si="66"/>
        <v>22</v>
      </c>
      <c r="AE117" s="55">
        <f t="shared" si="53"/>
        <v>112</v>
      </c>
      <c r="AF117" s="22">
        <f t="shared" si="67"/>
        <v>70.850000000000023</v>
      </c>
      <c r="AG117" s="9" t="str">
        <f t="shared" si="68"/>
        <v>2709 Rena Rd</v>
      </c>
      <c r="AH117" s="56">
        <f t="shared" si="69"/>
        <v>0</v>
      </c>
    </row>
    <row r="118" spans="1:34" x14ac:dyDescent="0.2">
      <c r="A118" s="9" t="s">
        <v>162</v>
      </c>
      <c r="B118" s="10">
        <v>24</v>
      </c>
      <c r="C118" s="15"/>
      <c r="D118" s="10">
        <v>1973</v>
      </c>
      <c r="E118" s="10">
        <v>14</v>
      </c>
      <c r="F118" s="18">
        <v>1</v>
      </c>
      <c r="G118" s="19">
        <v>1.88</v>
      </c>
      <c r="H118" s="13">
        <v>1020</v>
      </c>
      <c r="I118" s="20">
        <f t="shared" si="54"/>
        <v>1180</v>
      </c>
      <c r="J118" s="20">
        <v>45845</v>
      </c>
      <c r="K118" s="67">
        <f t="shared" si="51"/>
        <v>2.2248882102737486E-2</v>
      </c>
      <c r="L118" s="10">
        <v>3</v>
      </c>
      <c r="M118" s="22">
        <v>3.6</v>
      </c>
      <c r="N118" s="12">
        <v>15</v>
      </c>
      <c r="O118" s="12">
        <v>5</v>
      </c>
      <c r="P118" s="21">
        <f t="shared" si="70"/>
        <v>20</v>
      </c>
      <c r="Q118" s="64">
        <f t="shared" si="52"/>
        <v>20400</v>
      </c>
      <c r="R118" s="64"/>
      <c r="S118" s="10">
        <f t="shared" si="56"/>
        <v>115</v>
      </c>
      <c r="T118" s="10">
        <f t="shared" si="57"/>
        <v>68</v>
      </c>
      <c r="U118" s="10">
        <f t="shared" si="58"/>
        <v>1</v>
      </c>
      <c r="V118" s="10">
        <f t="shared" si="59"/>
        <v>21</v>
      </c>
      <c r="W118" s="10">
        <f t="shared" si="60"/>
        <v>21</v>
      </c>
      <c r="X118" s="10">
        <f t="shared" si="61"/>
        <v>115</v>
      </c>
      <c r="Y118" s="10">
        <f t="shared" si="62"/>
        <v>37</v>
      </c>
      <c r="Z118" s="10">
        <f t="shared" si="63"/>
        <v>72</v>
      </c>
      <c r="AA118" s="10">
        <f t="shared" si="64"/>
        <v>91</v>
      </c>
      <c r="AB118" s="22">
        <f t="shared" si="71"/>
        <v>59.07</v>
      </c>
      <c r="AC118" s="23">
        <f t="shared" si="66"/>
        <v>66</v>
      </c>
      <c r="AE118" s="55">
        <f t="shared" si="53"/>
        <v>113</v>
      </c>
      <c r="AF118" s="22">
        <f t="shared" si="67"/>
        <v>74.200000000000017</v>
      </c>
      <c r="AG118" s="9" t="str">
        <f t="shared" si="68"/>
        <v>1495 Bonhill Road</v>
      </c>
      <c r="AH118" s="56" t="str">
        <f t="shared" si="69"/>
        <v>7&amp;8</v>
      </c>
    </row>
    <row r="119" spans="1:34" x14ac:dyDescent="0.2">
      <c r="A119" s="9" t="s">
        <v>162</v>
      </c>
      <c r="B119" s="10">
        <v>23</v>
      </c>
      <c r="C119" s="15"/>
      <c r="D119" s="10">
        <v>1973</v>
      </c>
      <c r="E119" s="10">
        <v>14</v>
      </c>
      <c r="F119" s="18">
        <v>1</v>
      </c>
      <c r="G119" s="19">
        <v>1.88</v>
      </c>
      <c r="H119" s="13">
        <v>1020</v>
      </c>
      <c r="I119" s="20">
        <f t="shared" si="54"/>
        <v>1180</v>
      </c>
      <c r="J119" s="20">
        <v>45845</v>
      </c>
      <c r="K119" s="67">
        <f t="shared" si="51"/>
        <v>2.2248882102737486E-2</v>
      </c>
      <c r="L119" s="10">
        <v>3</v>
      </c>
      <c r="M119" s="22">
        <v>3.6</v>
      </c>
      <c r="N119" s="12">
        <v>15</v>
      </c>
      <c r="O119" s="12">
        <v>5</v>
      </c>
      <c r="P119" s="21">
        <f t="shared" ref="P119:P127" si="72">SUM(N119:O119)</f>
        <v>20</v>
      </c>
      <c r="Q119" s="64">
        <f t="shared" si="52"/>
        <v>20400</v>
      </c>
      <c r="R119" s="64"/>
      <c r="S119" s="10">
        <f t="shared" si="56"/>
        <v>115</v>
      </c>
      <c r="T119" s="10">
        <f t="shared" si="57"/>
        <v>68</v>
      </c>
      <c r="U119" s="10">
        <f t="shared" si="58"/>
        <v>1</v>
      </c>
      <c r="V119" s="10">
        <f t="shared" si="59"/>
        <v>21</v>
      </c>
      <c r="W119" s="10">
        <f t="shared" si="60"/>
        <v>21</v>
      </c>
      <c r="X119" s="10">
        <f t="shared" si="61"/>
        <v>115</v>
      </c>
      <c r="Y119" s="10">
        <f t="shared" si="62"/>
        <v>37</v>
      </c>
      <c r="Z119" s="10">
        <f t="shared" si="63"/>
        <v>72</v>
      </c>
      <c r="AA119" s="10">
        <f t="shared" si="64"/>
        <v>91</v>
      </c>
      <c r="AB119" s="22">
        <f t="shared" ref="AB119" si="73">SUMPRODUCT(S119:AA119,S$4:AA$4)</f>
        <v>59.07</v>
      </c>
      <c r="AC119" s="23">
        <f t="shared" si="66"/>
        <v>66</v>
      </c>
      <c r="AE119" s="55">
        <f t="shared" si="53"/>
        <v>114</v>
      </c>
      <c r="AF119" s="22">
        <f t="shared" si="67"/>
        <v>75.41</v>
      </c>
      <c r="AG119" s="9" t="str">
        <f t="shared" si="68"/>
        <v>2455 Cawthra Rd</v>
      </c>
      <c r="AH119" s="56" t="str">
        <f t="shared" si="69"/>
        <v>12-13</v>
      </c>
    </row>
    <row r="120" spans="1:34" x14ac:dyDescent="0.2">
      <c r="A120" s="9" t="s">
        <v>163</v>
      </c>
      <c r="B120" s="10"/>
      <c r="C120" s="15"/>
      <c r="D120" s="10">
        <v>1968</v>
      </c>
      <c r="E120" s="10">
        <v>14</v>
      </c>
      <c r="F120" s="18">
        <f>684/4200</f>
        <v>0.16285714285714287</v>
      </c>
      <c r="G120" s="19">
        <v>0.98</v>
      </c>
      <c r="H120" s="13">
        <v>4200</v>
      </c>
      <c r="I120" s="20">
        <f t="shared" si="54"/>
        <v>2000</v>
      </c>
      <c r="J120" s="20">
        <v>20484</v>
      </c>
      <c r="K120" s="67">
        <f t="shared" si="51"/>
        <v>0.2050380785002929</v>
      </c>
      <c r="L120" s="10">
        <v>3</v>
      </c>
      <c r="M120" s="22">
        <v>9.9</v>
      </c>
      <c r="N120" s="12">
        <v>6.75</v>
      </c>
      <c r="O120" s="12">
        <v>4.5</v>
      </c>
      <c r="P120" s="21">
        <f t="shared" si="72"/>
        <v>11.25</v>
      </c>
      <c r="Q120" s="64">
        <f t="shared" si="52"/>
        <v>47250</v>
      </c>
      <c r="R120" s="64"/>
      <c r="S120" s="10">
        <f t="shared" si="56"/>
        <v>121</v>
      </c>
      <c r="T120" s="10">
        <f t="shared" si="57"/>
        <v>68</v>
      </c>
      <c r="U120" s="10">
        <f t="shared" si="58"/>
        <v>92</v>
      </c>
      <c r="V120" s="10">
        <f t="shared" si="59"/>
        <v>101</v>
      </c>
      <c r="W120" s="10">
        <f t="shared" si="60"/>
        <v>76</v>
      </c>
      <c r="X120" s="10">
        <f t="shared" si="61"/>
        <v>2</v>
      </c>
      <c r="Y120" s="10">
        <f t="shared" si="62"/>
        <v>18</v>
      </c>
      <c r="Z120" s="10">
        <f t="shared" si="63"/>
        <v>72</v>
      </c>
      <c r="AA120" s="10">
        <f t="shared" si="64"/>
        <v>108</v>
      </c>
      <c r="AB120" s="22">
        <f t="shared" ref="AB120:AB128" si="74">SUMPRODUCT(S120:AA120,S$4:AA$4)</f>
        <v>67.11</v>
      </c>
      <c r="AC120" s="23">
        <f t="shared" si="66"/>
        <v>96</v>
      </c>
      <c r="AE120" s="55">
        <f t="shared" si="53"/>
        <v>115</v>
      </c>
      <c r="AF120" s="22">
        <f t="shared" si="67"/>
        <v>75.460000000000008</v>
      </c>
      <c r="AG120" s="9" t="str">
        <f t="shared" si="68"/>
        <v>2446 Cawthra Rd</v>
      </c>
      <c r="AH120" s="56">
        <f t="shared" si="69"/>
        <v>10</v>
      </c>
    </row>
    <row r="121" spans="1:34" x14ac:dyDescent="0.2">
      <c r="A121" s="9" t="s">
        <v>41</v>
      </c>
      <c r="B121" s="10">
        <v>8</v>
      </c>
      <c r="C121" s="15"/>
      <c r="D121" s="26">
        <v>1975</v>
      </c>
      <c r="E121" s="10">
        <v>14</v>
      </c>
      <c r="F121" s="48">
        <v>0.2</v>
      </c>
      <c r="G121" s="19">
        <v>0.67</v>
      </c>
      <c r="H121" s="13">
        <v>3200</v>
      </c>
      <c r="I121" s="20">
        <f t="shared" si="54"/>
        <v>1000</v>
      </c>
      <c r="J121" s="20">
        <v>66869</v>
      </c>
      <c r="K121" s="67">
        <f t="shared" si="51"/>
        <v>4.7854760800969058E-2</v>
      </c>
      <c r="L121" s="10">
        <v>3</v>
      </c>
      <c r="M121" s="22">
        <v>7.6</v>
      </c>
      <c r="N121" s="12">
        <f>10-3.4</f>
        <v>6.6</v>
      </c>
      <c r="O121" s="12">
        <v>3.4</v>
      </c>
      <c r="P121" s="21">
        <f t="shared" si="72"/>
        <v>10</v>
      </c>
      <c r="Q121" s="64">
        <f t="shared" si="52"/>
        <v>32000</v>
      </c>
      <c r="R121" s="64"/>
      <c r="S121" s="10">
        <f t="shared" si="56"/>
        <v>93</v>
      </c>
      <c r="T121" s="10">
        <f t="shared" si="57"/>
        <v>68</v>
      </c>
      <c r="U121" s="10">
        <f t="shared" si="58"/>
        <v>73</v>
      </c>
      <c r="V121" s="10">
        <f t="shared" si="59"/>
        <v>116</v>
      </c>
      <c r="W121" s="10">
        <f t="shared" si="60"/>
        <v>66</v>
      </c>
      <c r="X121" s="10">
        <f t="shared" si="61"/>
        <v>1</v>
      </c>
      <c r="Y121" s="10">
        <f t="shared" si="62"/>
        <v>3</v>
      </c>
      <c r="Z121" s="10">
        <f t="shared" si="63"/>
        <v>72</v>
      </c>
      <c r="AA121" s="10">
        <f t="shared" si="64"/>
        <v>80</v>
      </c>
      <c r="AB121" s="22">
        <f t="shared" si="74"/>
        <v>59.16</v>
      </c>
      <c r="AC121" s="23">
        <f t="shared" si="66"/>
        <v>68</v>
      </c>
      <c r="AE121" s="55">
        <f t="shared" si="53"/>
        <v>116</v>
      </c>
      <c r="AF121" s="22">
        <f t="shared" si="67"/>
        <v>75.5</v>
      </c>
      <c r="AG121" s="9" t="str">
        <f t="shared" si="68"/>
        <v>2776 Slough St</v>
      </c>
      <c r="AH121" s="56">
        <f t="shared" si="69"/>
        <v>0</v>
      </c>
    </row>
    <row r="122" spans="1:34" x14ac:dyDescent="0.2">
      <c r="A122" s="9" t="s">
        <v>164</v>
      </c>
      <c r="B122" s="10">
        <v>5</v>
      </c>
      <c r="C122" s="15"/>
      <c r="D122" s="10">
        <v>1982</v>
      </c>
      <c r="E122" s="10">
        <v>14</v>
      </c>
      <c r="F122" s="18">
        <v>0.2</v>
      </c>
      <c r="G122" s="19">
        <v>2.78</v>
      </c>
      <c r="H122" s="13">
        <v>2369</v>
      </c>
      <c r="I122" s="20">
        <f t="shared" si="54"/>
        <v>169</v>
      </c>
      <c r="J122" s="20">
        <v>46700</v>
      </c>
      <c r="K122" s="67">
        <f t="shared" si="51"/>
        <v>5.0728051391862955E-2</v>
      </c>
      <c r="L122" s="10">
        <v>2</v>
      </c>
      <c r="M122" s="22">
        <v>5.7</v>
      </c>
      <c r="N122" s="12">
        <v>12.5</v>
      </c>
      <c r="O122" s="12">
        <v>6.4</v>
      </c>
      <c r="P122" s="21">
        <f t="shared" si="72"/>
        <v>18.899999999999999</v>
      </c>
      <c r="Q122" s="64">
        <f t="shared" si="52"/>
        <v>44774.1</v>
      </c>
      <c r="R122" s="64"/>
      <c r="S122" s="10">
        <f t="shared" si="56"/>
        <v>51</v>
      </c>
      <c r="T122" s="10">
        <f t="shared" si="57"/>
        <v>68</v>
      </c>
      <c r="U122" s="10">
        <f t="shared" si="58"/>
        <v>73</v>
      </c>
      <c r="V122" s="10">
        <f t="shared" si="59"/>
        <v>4</v>
      </c>
      <c r="W122" s="10">
        <f t="shared" si="60"/>
        <v>37</v>
      </c>
      <c r="X122" s="10">
        <f t="shared" si="61"/>
        <v>72</v>
      </c>
      <c r="Y122" s="10">
        <f t="shared" si="62"/>
        <v>112</v>
      </c>
      <c r="Z122" s="10">
        <f t="shared" si="63"/>
        <v>15</v>
      </c>
      <c r="AA122" s="10">
        <f t="shared" si="64"/>
        <v>24</v>
      </c>
      <c r="AB122" s="22">
        <f t="shared" si="74"/>
        <v>53.129999999999995</v>
      </c>
      <c r="AC122" s="23">
        <f t="shared" si="66"/>
        <v>46</v>
      </c>
      <c r="AE122" s="55">
        <f t="shared" si="53"/>
        <v>117</v>
      </c>
      <c r="AF122" s="22">
        <f t="shared" si="67"/>
        <v>75.510000000000005</v>
      </c>
      <c r="AG122" s="9" t="str">
        <f t="shared" si="68"/>
        <v>2455 Cawthra Rd</v>
      </c>
      <c r="AH122" s="56">
        <f t="shared" si="69"/>
        <v>21</v>
      </c>
    </row>
    <row r="123" spans="1:34" x14ac:dyDescent="0.2">
      <c r="A123" s="9" t="s">
        <v>165</v>
      </c>
      <c r="B123" s="10" t="s">
        <v>166</v>
      </c>
      <c r="C123" s="15"/>
      <c r="D123" s="10">
        <v>1990</v>
      </c>
      <c r="E123" s="26">
        <v>18</v>
      </c>
      <c r="F123" s="48">
        <v>0.2</v>
      </c>
      <c r="G123" s="19">
        <v>2.77</v>
      </c>
      <c r="H123" s="13">
        <v>3824</v>
      </c>
      <c r="I123" s="20">
        <f t="shared" si="54"/>
        <v>1624</v>
      </c>
      <c r="J123" s="20">
        <v>51462</v>
      </c>
      <c r="K123" s="67">
        <f t="shared" si="51"/>
        <v>7.4307255839260039E-2</v>
      </c>
      <c r="L123" s="10">
        <v>2</v>
      </c>
      <c r="M123" s="22">
        <v>14.5</v>
      </c>
      <c r="N123" s="12">
        <v>14.5</v>
      </c>
      <c r="O123" s="12">
        <v>4.88</v>
      </c>
      <c r="P123" s="21">
        <f t="shared" si="72"/>
        <v>19.38</v>
      </c>
      <c r="Q123" s="64">
        <f t="shared" si="52"/>
        <v>74109.119999999995</v>
      </c>
      <c r="R123" s="64"/>
      <c r="S123" s="10">
        <f t="shared" si="56"/>
        <v>20</v>
      </c>
      <c r="T123" s="10">
        <f t="shared" si="57"/>
        <v>17</v>
      </c>
      <c r="U123" s="10">
        <f t="shared" si="58"/>
        <v>73</v>
      </c>
      <c r="V123" s="10">
        <f t="shared" si="59"/>
        <v>5</v>
      </c>
      <c r="W123" s="10">
        <f t="shared" si="60"/>
        <v>102</v>
      </c>
      <c r="X123" s="10">
        <f t="shared" si="61"/>
        <v>104</v>
      </c>
      <c r="Y123" s="10">
        <f t="shared" si="62"/>
        <v>30</v>
      </c>
      <c r="Z123" s="10">
        <f t="shared" si="63"/>
        <v>15</v>
      </c>
      <c r="AA123" s="10">
        <f t="shared" si="64"/>
        <v>99</v>
      </c>
      <c r="AB123" s="22">
        <f t="shared" si="74"/>
        <v>53.34</v>
      </c>
      <c r="AC123" s="23">
        <f t="shared" si="66"/>
        <v>50</v>
      </c>
      <c r="AE123" s="55">
        <f t="shared" si="53"/>
        <v>118</v>
      </c>
      <c r="AF123" s="22">
        <f t="shared" si="67"/>
        <v>75.61</v>
      </c>
      <c r="AG123" s="9" t="str">
        <f t="shared" si="68"/>
        <v>2455 Cawthra Rd</v>
      </c>
      <c r="AH123" s="56">
        <f t="shared" si="69"/>
        <v>16</v>
      </c>
    </row>
    <row r="124" spans="1:34" x14ac:dyDescent="0.2">
      <c r="A124" s="9" t="s">
        <v>167</v>
      </c>
      <c r="B124" s="10">
        <v>21</v>
      </c>
      <c r="C124" s="15"/>
      <c r="D124" s="10">
        <v>1986</v>
      </c>
      <c r="E124" s="10">
        <v>16</v>
      </c>
      <c r="F124" s="18">
        <v>1</v>
      </c>
      <c r="G124" s="19">
        <v>2.77</v>
      </c>
      <c r="H124" s="13">
        <v>1075</v>
      </c>
      <c r="I124" s="20">
        <f t="shared" si="54"/>
        <v>1125</v>
      </c>
      <c r="J124" s="20">
        <v>36368</v>
      </c>
      <c r="K124" s="67">
        <f t="shared" si="51"/>
        <v>2.9558952925648922E-2</v>
      </c>
      <c r="L124" s="10">
        <v>3</v>
      </c>
      <c r="M124" s="22">
        <v>6.2</v>
      </c>
      <c r="N124" s="12">
        <v>10.95</v>
      </c>
      <c r="O124" s="12">
        <v>4.95</v>
      </c>
      <c r="P124" s="21">
        <f t="shared" si="72"/>
        <v>15.899999999999999</v>
      </c>
      <c r="Q124" s="64">
        <f t="shared" si="52"/>
        <v>17092.5</v>
      </c>
      <c r="R124" s="64"/>
      <c r="S124" s="10">
        <f t="shared" si="56"/>
        <v>39</v>
      </c>
      <c r="T124" s="10">
        <f t="shared" si="57"/>
        <v>44</v>
      </c>
      <c r="U124" s="10">
        <f t="shared" si="58"/>
        <v>1</v>
      </c>
      <c r="V124" s="10">
        <f t="shared" si="59"/>
        <v>5</v>
      </c>
      <c r="W124" s="10">
        <f t="shared" si="60"/>
        <v>43</v>
      </c>
      <c r="X124" s="10">
        <f t="shared" si="61"/>
        <v>41</v>
      </c>
      <c r="Y124" s="10">
        <f t="shared" si="62"/>
        <v>33</v>
      </c>
      <c r="Z124" s="10">
        <f t="shared" si="63"/>
        <v>72</v>
      </c>
      <c r="AA124" s="10">
        <f t="shared" si="64"/>
        <v>89</v>
      </c>
      <c r="AB124" s="22">
        <f t="shared" si="74"/>
        <v>37.790000000000006</v>
      </c>
      <c r="AC124" s="23">
        <f t="shared" si="66"/>
        <v>5</v>
      </c>
      <c r="AE124" s="55">
        <f t="shared" si="53"/>
        <v>119</v>
      </c>
      <c r="AF124" s="22">
        <f t="shared" si="67"/>
        <v>79.860000000000014</v>
      </c>
      <c r="AG124" s="9" t="str">
        <f t="shared" si="68"/>
        <v>2465 Cawthra Rd</v>
      </c>
      <c r="AH124" s="56" t="str">
        <f t="shared" si="69"/>
        <v>113-114</v>
      </c>
    </row>
    <row r="125" spans="1:34" x14ac:dyDescent="0.2">
      <c r="A125" s="9" t="s">
        <v>168</v>
      </c>
      <c r="B125" s="10" t="s">
        <v>169</v>
      </c>
      <c r="C125" s="15"/>
      <c r="D125" s="10">
        <v>1984</v>
      </c>
      <c r="E125" s="10">
        <v>32</v>
      </c>
      <c r="F125" s="48">
        <v>0.15</v>
      </c>
      <c r="G125" s="19">
        <v>2.5</v>
      </c>
      <c r="H125" s="13">
        <v>2700</v>
      </c>
      <c r="I125" s="20">
        <f t="shared" si="54"/>
        <v>500</v>
      </c>
      <c r="J125" s="20">
        <v>141051</v>
      </c>
      <c r="K125" s="67">
        <f t="shared" si="51"/>
        <v>1.9142012463577003E-2</v>
      </c>
      <c r="L125" s="10">
        <v>3</v>
      </c>
      <c r="M125" s="22">
        <v>6.8</v>
      </c>
      <c r="N125" s="12">
        <v>14.5</v>
      </c>
      <c r="O125" s="12">
        <v>5.12</v>
      </c>
      <c r="P125" s="21">
        <f t="shared" si="72"/>
        <v>19.62</v>
      </c>
      <c r="Q125" s="64">
        <f t="shared" si="52"/>
        <v>52974</v>
      </c>
      <c r="R125" s="64"/>
      <c r="S125" s="10">
        <f t="shared" si="56"/>
        <v>46</v>
      </c>
      <c r="T125" s="10">
        <f t="shared" si="57"/>
        <v>1</v>
      </c>
      <c r="U125" s="10">
        <f t="shared" si="58"/>
        <v>96</v>
      </c>
      <c r="V125" s="10">
        <f t="shared" si="59"/>
        <v>7</v>
      </c>
      <c r="W125" s="10">
        <f t="shared" si="60"/>
        <v>47</v>
      </c>
      <c r="X125" s="10">
        <f t="shared" si="61"/>
        <v>104</v>
      </c>
      <c r="Y125" s="10">
        <f t="shared" si="62"/>
        <v>55</v>
      </c>
      <c r="Z125" s="10">
        <f t="shared" si="63"/>
        <v>72</v>
      </c>
      <c r="AA125" s="10">
        <f t="shared" si="64"/>
        <v>48</v>
      </c>
      <c r="AB125" s="22">
        <f t="shared" si="74"/>
        <v>53.31</v>
      </c>
      <c r="AC125" s="23">
        <f t="shared" si="66"/>
        <v>49</v>
      </c>
      <c r="AE125" s="55">
        <f t="shared" si="53"/>
        <v>120</v>
      </c>
      <c r="AF125" s="22">
        <f t="shared" si="67"/>
        <v>79.960000000000008</v>
      </c>
      <c r="AG125" s="9" t="str">
        <f t="shared" si="68"/>
        <v>2465 Cawthra Rd</v>
      </c>
      <c r="AH125" s="56">
        <f t="shared" si="69"/>
        <v>123</v>
      </c>
    </row>
    <row r="126" spans="1:34" x14ac:dyDescent="0.2">
      <c r="A126" s="9" t="s">
        <v>168</v>
      </c>
      <c r="B126" s="10" t="s">
        <v>170</v>
      </c>
      <c r="C126" s="15"/>
      <c r="D126" s="10">
        <v>1984</v>
      </c>
      <c r="E126" s="10">
        <v>32</v>
      </c>
      <c r="F126" s="48">
        <v>0.15</v>
      </c>
      <c r="G126" s="19">
        <v>2.5</v>
      </c>
      <c r="H126" s="13">
        <v>2100</v>
      </c>
      <c r="I126" s="20">
        <f t="shared" si="54"/>
        <v>100</v>
      </c>
      <c r="J126" s="20">
        <v>141051</v>
      </c>
      <c r="K126" s="67">
        <f t="shared" si="51"/>
        <v>1.4888231916115447E-2</v>
      </c>
      <c r="L126" s="10">
        <v>3</v>
      </c>
      <c r="M126" s="22">
        <v>6.8</v>
      </c>
      <c r="N126" s="12">
        <v>14.5</v>
      </c>
      <c r="O126" s="12">
        <v>5.12</v>
      </c>
      <c r="P126" s="21">
        <f t="shared" si="72"/>
        <v>19.62</v>
      </c>
      <c r="Q126" s="64">
        <f t="shared" si="52"/>
        <v>41202</v>
      </c>
      <c r="R126" s="64"/>
      <c r="S126" s="10">
        <f t="shared" si="56"/>
        <v>46</v>
      </c>
      <c r="T126" s="10">
        <f t="shared" si="57"/>
        <v>1</v>
      </c>
      <c r="U126" s="10">
        <f t="shared" si="58"/>
        <v>96</v>
      </c>
      <c r="V126" s="10">
        <f t="shared" si="59"/>
        <v>7</v>
      </c>
      <c r="W126" s="10">
        <f t="shared" si="60"/>
        <v>47</v>
      </c>
      <c r="X126" s="10">
        <f t="shared" si="61"/>
        <v>104</v>
      </c>
      <c r="Y126" s="10">
        <f t="shared" si="62"/>
        <v>55</v>
      </c>
      <c r="Z126" s="10">
        <f t="shared" si="63"/>
        <v>72</v>
      </c>
      <c r="AA126" s="10">
        <f t="shared" si="64"/>
        <v>17</v>
      </c>
      <c r="AB126" s="22">
        <f t="shared" si="74"/>
        <v>50.210000000000008</v>
      </c>
      <c r="AC126" s="23">
        <f t="shared" si="66"/>
        <v>36</v>
      </c>
      <c r="AE126" s="55">
        <f t="shared" si="53"/>
        <v>121</v>
      </c>
      <c r="AF126" s="22">
        <f t="shared" si="67"/>
        <v>82.260000000000019</v>
      </c>
      <c r="AG126" s="9" t="str">
        <f t="shared" si="68"/>
        <v>2666 Royal Winds... Dr</v>
      </c>
      <c r="AH126" s="56">
        <f t="shared" si="69"/>
        <v>9</v>
      </c>
    </row>
    <row r="127" spans="1:34" x14ac:dyDescent="0.2">
      <c r="A127" s="9" t="s">
        <v>171</v>
      </c>
      <c r="B127" s="10">
        <v>200</v>
      </c>
      <c r="C127" s="15"/>
      <c r="D127" s="10">
        <v>2000</v>
      </c>
      <c r="E127" s="10">
        <v>21</v>
      </c>
      <c r="F127" s="48">
        <v>0.15</v>
      </c>
      <c r="G127" s="19">
        <v>0.33</v>
      </c>
      <c r="H127" s="13">
        <v>2127</v>
      </c>
      <c r="I127" s="20">
        <f t="shared" si="54"/>
        <v>73</v>
      </c>
      <c r="J127" s="20">
        <v>12269</v>
      </c>
      <c r="K127" s="67">
        <f t="shared" si="51"/>
        <v>0.17336376232781808</v>
      </c>
      <c r="L127" s="10">
        <v>2</v>
      </c>
      <c r="M127" s="22">
        <v>6.3</v>
      </c>
      <c r="N127" s="12">
        <v>16.95</v>
      </c>
      <c r="O127" s="12">
        <v>3.24</v>
      </c>
      <c r="P127" s="21">
        <f t="shared" si="72"/>
        <v>20.189999999999998</v>
      </c>
      <c r="Q127" s="64">
        <f t="shared" si="52"/>
        <v>42944.13</v>
      </c>
      <c r="R127" s="64"/>
      <c r="S127" s="10">
        <f t="shared" si="56"/>
        <v>9</v>
      </c>
      <c r="T127" s="10">
        <f t="shared" si="57"/>
        <v>11</v>
      </c>
      <c r="U127" s="10">
        <f t="shared" si="58"/>
        <v>96</v>
      </c>
      <c r="V127" s="10">
        <f t="shared" si="59"/>
        <v>123</v>
      </c>
      <c r="W127" s="10">
        <f t="shared" si="60"/>
        <v>44</v>
      </c>
      <c r="X127" s="10">
        <f t="shared" si="61"/>
        <v>123</v>
      </c>
      <c r="Y127" s="10">
        <f t="shared" si="62"/>
        <v>2</v>
      </c>
      <c r="Z127" s="10">
        <f t="shared" si="63"/>
        <v>15</v>
      </c>
      <c r="AA127" s="10">
        <f t="shared" si="64"/>
        <v>10</v>
      </c>
      <c r="AB127" s="22">
        <f t="shared" si="74"/>
        <v>56.28</v>
      </c>
      <c r="AC127" s="23">
        <f t="shared" si="66"/>
        <v>56</v>
      </c>
      <c r="AE127" s="55">
        <f t="shared" si="53"/>
        <v>122</v>
      </c>
      <c r="AF127" s="22">
        <f t="shared" si="67"/>
        <v>82.34</v>
      </c>
      <c r="AG127" s="9" t="str">
        <f t="shared" si="68"/>
        <v>3257 Lenworth Dr</v>
      </c>
      <c r="AH127" s="56" t="str">
        <f t="shared" si="69"/>
        <v>B</v>
      </c>
    </row>
    <row r="128" spans="1:34" ht="17" thickBot="1" x14ac:dyDescent="0.25">
      <c r="A128" s="70" t="s">
        <v>178</v>
      </c>
      <c r="B128" s="71"/>
      <c r="C128" s="72" t="s">
        <v>179</v>
      </c>
      <c r="D128" s="71">
        <v>1980</v>
      </c>
      <c r="E128" s="71">
        <v>18</v>
      </c>
      <c r="F128" s="73">
        <v>0.3</v>
      </c>
      <c r="G128" s="74">
        <v>1.75</v>
      </c>
      <c r="H128" s="75">
        <v>2200</v>
      </c>
      <c r="I128" s="76">
        <f t="shared" si="54"/>
        <v>0</v>
      </c>
      <c r="J128" s="76">
        <v>115000</v>
      </c>
      <c r="K128" s="77">
        <f t="shared" si="51"/>
        <v>1.9130434782608695E-2</v>
      </c>
      <c r="L128" s="78">
        <v>2</v>
      </c>
      <c r="M128" s="79">
        <v>0</v>
      </c>
      <c r="N128" s="80">
        <v>12.95</v>
      </c>
      <c r="O128" s="81">
        <v>5.5</v>
      </c>
      <c r="P128" s="82">
        <f t="shared" ref="P128" si="75">SUM(N128:O128)</f>
        <v>18.45</v>
      </c>
      <c r="Q128" s="83">
        <f t="shared" si="52"/>
        <v>40590</v>
      </c>
      <c r="R128" s="83"/>
      <c r="S128" s="71">
        <f t="shared" si="56"/>
        <v>58</v>
      </c>
      <c r="T128" s="71">
        <f t="shared" si="57"/>
        <v>17</v>
      </c>
      <c r="U128" s="71">
        <f t="shared" si="58"/>
        <v>37</v>
      </c>
      <c r="V128" s="71">
        <f t="shared" si="59"/>
        <v>34</v>
      </c>
      <c r="W128" s="71">
        <f t="shared" si="60"/>
        <v>1</v>
      </c>
      <c r="X128" s="71">
        <f t="shared" si="61"/>
        <v>75</v>
      </c>
      <c r="Y128" s="71">
        <f t="shared" si="62"/>
        <v>73</v>
      </c>
      <c r="Z128" s="71">
        <f t="shared" si="63"/>
        <v>15</v>
      </c>
      <c r="AA128" s="71">
        <f t="shared" si="64"/>
        <v>1</v>
      </c>
      <c r="AB128" s="84">
        <f t="shared" si="74"/>
        <v>38.61</v>
      </c>
      <c r="AC128" s="85">
        <f t="shared" si="66"/>
        <v>7</v>
      </c>
      <c r="AE128" s="57">
        <f t="shared" si="53"/>
        <v>123</v>
      </c>
      <c r="AF128" s="58">
        <f t="shared" si="67"/>
        <v>82.860000000000028</v>
      </c>
      <c r="AG128" s="59" t="str">
        <f t="shared" si="68"/>
        <v>2666 Royal Winds... Dr</v>
      </c>
      <c r="AH128" s="60">
        <f t="shared" si="69"/>
        <v>10</v>
      </c>
    </row>
    <row r="129" spans="3:16" x14ac:dyDescent="0.2">
      <c r="D129"/>
      <c r="E129"/>
      <c r="F129"/>
      <c r="H129" s="1"/>
      <c r="I129" s="1"/>
      <c r="J129" s="1"/>
      <c r="K129" s="66"/>
    </row>
    <row r="130" spans="3:16" ht="16" thickBot="1" x14ac:dyDescent="0.25"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 spans="3:16" ht="16" x14ac:dyDescent="0.2">
      <c r="C131" s="52" t="s">
        <v>172</v>
      </c>
      <c r="D131" s="68">
        <v>11</v>
      </c>
      <c r="E131" s="68">
        <f>D131+0.5</f>
        <v>11.5</v>
      </c>
      <c r="F131" s="68">
        <f t="shared" ref="F131:I131" si="76">E131+0.5</f>
        <v>12</v>
      </c>
      <c r="G131" s="68">
        <f t="shared" si="76"/>
        <v>12.5</v>
      </c>
      <c r="H131" s="68">
        <f t="shared" si="76"/>
        <v>13</v>
      </c>
      <c r="I131" s="68">
        <f t="shared" si="76"/>
        <v>13.5</v>
      </c>
      <c r="J131" s="68">
        <f t="shared" ref="J131" si="77">I131+0.5</f>
        <v>14</v>
      </c>
      <c r="K131" s="68">
        <f t="shared" ref="K131" si="78">J131+0.5</f>
        <v>14.5</v>
      </c>
      <c r="L131" s="68">
        <f t="shared" ref="L131" si="79">K131+0.5</f>
        <v>15</v>
      </c>
      <c r="M131" s="68">
        <f t="shared" ref="M131" si="80">L131+0.5</f>
        <v>15.5</v>
      </c>
      <c r="N131" s="68">
        <f t="shared" ref="N131" si="81">M131+0.5</f>
        <v>16</v>
      </c>
      <c r="O131" s="68">
        <f t="shared" ref="O131" si="82">N131+0.5</f>
        <v>16.5</v>
      </c>
      <c r="P131" s="69">
        <f t="shared" ref="P131" si="83">O131+0.5</f>
        <v>17</v>
      </c>
    </row>
    <row r="132" spans="3:16" ht="16" thickBot="1" x14ac:dyDescent="0.25">
      <c r="C132" s="53">
        <f>AC128</f>
        <v>7</v>
      </c>
      <c r="D132" s="17">
        <f t="dataTable" ref="D132:P132" dt2D="0" dtr="1" r1="N128"/>
        <v>1</v>
      </c>
      <c r="E132" s="17">
        <v>2</v>
      </c>
      <c r="F132" s="17">
        <v>4</v>
      </c>
      <c r="G132" s="17">
        <v>7</v>
      </c>
      <c r="H132" s="17">
        <v>7</v>
      </c>
      <c r="I132" s="17">
        <v>8</v>
      </c>
      <c r="J132" s="17">
        <v>8</v>
      </c>
      <c r="K132" s="17">
        <v>12</v>
      </c>
      <c r="L132" s="17">
        <v>19</v>
      </c>
      <c r="M132" s="17">
        <v>23</v>
      </c>
      <c r="N132" s="17">
        <v>25</v>
      </c>
      <c r="O132" s="17">
        <v>28</v>
      </c>
      <c r="P132" s="28">
        <v>28</v>
      </c>
    </row>
    <row r="134" spans="3:16" ht="64" customHeight="1" x14ac:dyDescent="0.2">
      <c r="C134" s="87" t="s">
        <v>181</v>
      </c>
      <c r="D134" s="87"/>
      <c r="E134" s="87"/>
      <c r="F134" s="87"/>
      <c r="G134" s="87"/>
      <c r="H134" s="87"/>
      <c r="I134" s="87"/>
      <c r="J134" s="87"/>
      <c r="K134" s="87"/>
    </row>
  </sheetData>
  <autoFilter ref="A5:Q128" xr:uid="{CDBB748A-2012-4770-B8A6-9367E3055A8D}"/>
  <mergeCells count="2">
    <mergeCell ref="S2:AB2"/>
    <mergeCell ref="C134:K134"/>
  </mergeCells>
  <pageMargins left="0.25" right="0.25" top="0.75" bottom="0.75" header="0.3" footer="0.3"/>
  <pageSetup paperSize="17"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 Chan</dc:creator>
  <cp:lastModifiedBy>Reggie Chan</cp:lastModifiedBy>
  <cp:lastPrinted>2020-05-12T18:23:49Z</cp:lastPrinted>
  <dcterms:created xsi:type="dcterms:W3CDTF">2020-05-08T13:54:58Z</dcterms:created>
  <dcterms:modified xsi:type="dcterms:W3CDTF">2024-01-12T19:52:06Z</dcterms:modified>
</cp:coreProperties>
</file>